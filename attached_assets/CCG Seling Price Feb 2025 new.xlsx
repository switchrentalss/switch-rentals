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58aebf08b37535/Switch Final sheet 2025 NEW/Final Rent list with master sheet/"/>
    </mc:Choice>
  </mc:AlternateContent>
  <xr:revisionPtr revIDLastSave="23" documentId="14_{03D62712-8C79-4CCB-A3BD-5AFAF9516B2C}" xr6:coauthVersionLast="47" xr6:coauthVersionMax="47" xr10:uidLastSave="{4F85F269-A642-4978-B639-28D4226A4CAA}"/>
  <bookViews>
    <workbookView xWindow="-108" yWindow="-108" windowWidth="23256" windowHeight="12456" activeTab="1" xr2:uid="{735D3AF7-C686-44DF-8C3C-E825FD5BA3C7}"/>
  </bookViews>
  <sheets>
    <sheet name="Sumurry of ccg value" sheetId="9" r:id="rId1"/>
    <sheet name="Mono Portions Artevo " sheetId="1" r:id="rId2"/>
    <sheet name="Glassware " sheetId="2" r:id="rId3"/>
    <sheet name="Baroque " sheetId="3" r:id="rId4"/>
    <sheet name="Platters &amp; Bowls" sheetId="6" r:id="rId5"/>
    <sheet name="Mettal ware for Buffet " sheetId="4" r:id="rId6"/>
    <sheet name="Cake stands and charile " sheetId="10" r:id="rId7"/>
    <sheet name="mirrorware for buffets " sheetId="5" r:id="rId8"/>
    <sheet name="Plates " sheetId="7" r:id="rId9"/>
    <sheet name="Cutlury " sheetId="8" r:id="rId10"/>
    <sheet name="Others Equpments " sheetId="11" r:id="rId11"/>
    <sheet name="Tea and coffee set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3" i="2"/>
  <c r="E14" i="11"/>
  <c r="F14" i="11" s="1"/>
  <c r="I22" i="11"/>
  <c r="J6" i="11"/>
  <c r="J7" i="11"/>
  <c r="J8" i="11"/>
  <c r="J9" i="11"/>
  <c r="J10" i="11"/>
  <c r="J11" i="11"/>
  <c r="J12" i="11"/>
  <c r="J13" i="11"/>
  <c r="J14" i="11"/>
  <c r="J15" i="11"/>
  <c r="G7" i="11"/>
  <c r="G12" i="11"/>
  <c r="G13" i="11"/>
  <c r="G15" i="11"/>
  <c r="F7" i="11"/>
  <c r="F15" i="11"/>
  <c r="E13" i="11"/>
  <c r="F13" i="11" s="1"/>
  <c r="E12" i="11"/>
  <c r="F12" i="11" s="1"/>
  <c r="E7" i="11"/>
  <c r="I18" i="6"/>
  <c r="H18" i="6"/>
  <c r="G18" i="6"/>
  <c r="L18" i="6"/>
  <c r="H19" i="6"/>
  <c r="I19" i="6"/>
  <c r="L19" i="6"/>
  <c r="K47" i="3"/>
  <c r="K46" i="3"/>
  <c r="H46" i="3"/>
  <c r="H47" i="3"/>
  <c r="G46" i="3"/>
  <c r="G47" i="3"/>
  <c r="G14" i="11" l="1"/>
  <c r="E8" i="11"/>
  <c r="E6" i="11"/>
  <c r="E9" i="11"/>
  <c r="E11" i="11"/>
  <c r="E10" i="11"/>
  <c r="E4" i="8"/>
  <c r="G9" i="11" l="1"/>
  <c r="F9" i="11"/>
  <c r="G6" i="11"/>
  <c r="F6" i="11"/>
  <c r="F11" i="11"/>
  <c r="G11" i="11"/>
  <c r="G10" i="11"/>
  <c r="F10" i="11"/>
  <c r="F8" i="11"/>
  <c r="G8" i="11"/>
  <c r="H14" i="1"/>
  <c r="K14" i="1"/>
  <c r="G14" i="1"/>
  <c r="H36" i="8"/>
  <c r="H35" i="8"/>
  <c r="I36" i="8"/>
  <c r="I35" i="8"/>
  <c r="I29" i="8"/>
  <c r="I30" i="8"/>
  <c r="I31" i="8"/>
  <c r="I28" i="8"/>
  <c r="H29" i="8"/>
  <c r="H30" i="8"/>
  <c r="H31" i="8"/>
  <c r="H28" i="8"/>
  <c r="H26" i="8"/>
  <c r="E27" i="8"/>
  <c r="I27" i="8" s="1"/>
  <c r="K48" i="3"/>
  <c r="H48" i="3"/>
  <c r="G48" i="3"/>
  <c r="H12" i="1"/>
  <c r="K12" i="1"/>
  <c r="G12" i="1"/>
  <c r="L17" i="6"/>
  <c r="I17" i="6"/>
  <c r="H17" i="6"/>
  <c r="K20" i="5"/>
  <c r="H20" i="5"/>
  <c r="G20" i="5"/>
  <c r="L16" i="6"/>
  <c r="I16" i="6"/>
  <c r="H16" i="6"/>
  <c r="H8" i="6"/>
  <c r="H27" i="8" l="1"/>
  <c r="J16" i="4"/>
  <c r="J17" i="4"/>
  <c r="J18" i="4"/>
  <c r="J19" i="4"/>
  <c r="G18" i="4"/>
  <c r="G19" i="4"/>
  <c r="F18" i="4"/>
  <c r="F19" i="4"/>
  <c r="F17" i="4"/>
  <c r="G17" i="4"/>
  <c r="F16" i="4"/>
  <c r="G16" i="4"/>
  <c r="G6" i="3" l="1"/>
  <c r="G2" i="12"/>
  <c r="J2" i="12"/>
  <c r="F2" i="12"/>
  <c r="K39" i="3"/>
  <c r="K40" i="3"/>
  <c r="K41" i="3"/>
  <c r="K42" i="3"/>
  <c r="G39" i="3"/>
  <c r="H39" i="3"/>
  <c r="K38" i="3"/>
  <c r="K36" i="3"/>
  <c r="K35" i="3"/>
  <c r="K34" i="3"/>
  <c r="K33" i="3"/>
  <c r="K32" i="3"/>
  <c r="H32" i="3"/>
  <c r="H33" i="3"/>
  <c r="H34" i="3"/>
  <c r="H35" i="3"/>
  <c r="H36" i="3"/>
  <c r="H37" i="3"/>
  <c r="H38" i="3"/>
  <c r="G32" i="3"/>
  <c r="G33" i="3"/>
  <c r="G34" i="3"/>
  <c r="G35" i="3"/>
  <c r="G36" i="3"/>
  <c r="G38" i="3"/>
  <c r="E37" i="3"/>
  <c r="G37" i="3" s="1"/>
  <c r="K37" i="3" l="1"/>
  <c r="I21" i="4"/>
  <c r="G21" i="4" l="1"/>
  <c r="G22" i="4"/>
  <c r="G20" i="4"/>
  <c r="J21" i="4"/>
  <c r="J22" i="4"/>
  <c r="J20" i="4"/>
  <c r="F21" i="4"/>
  <c r="F22" i="4"/>
  <c r="F20" i="4"/>
  <c r="C30" i="4"/>
  <c r="C31" i="4" s="1"/>
  <c r="G4" i="11"/>
  <c r="G5" i="11"/>
  <c r="G3" i="11"/>
  <c r="J4" i="11"/>
  <c r="J5" i="11"/>
  <c r="J3" i="11"/>
  <c r="J16" i="11" s="1"/>
  <c r="F3" i="11"/>
  <c r="F4" i="11"/>
  <c r="F5" i="11"/>
  <c r="F16" i="11" l="1"/>
  <c r="L15" i="6"/>
  <c r="I15" i="6"/>
  <c r="H15" i="6"/>
  <c r="L14" i="6"/>
  <c r="H14" i="6"/>
  <c r="I14" i="6"/>
  <c r="L13" i="6"/>
  <c r="I13" i="6"/>
  <c r="H13" i="6"/>
  <c r="K29" i="3"/>
  <c r="H29" i="3"/>
  <c r="G29" i="3"/>
  <c r="K28" i="3"/>
  <c r="H28" i="3"/>
  <c r="G28" i="3"/>
  <c r="H26" i="3"/>
  <c r="H27" i="3"/>
  <c r="G26" i="3"/>
  <c r="G27" i="3"/>
  <c r="K27" i="3"/>
  <c r="K26" i="3"/>
  <c r="K25" i="3"/>
  <c r="H25" i="3"/>
  <c r="G25" i="3"/>
  <c r="K30" i="3"/>
  <c r="H30" i="3"/>
  <c r="G30" i="3"/>
  <c r="E4" i="10"/>
  <c r="F4" i="10" s="1"/>
  <c r="G3" i="10"/>
  <c r="J3" i="10"/>
  <c r="J5" i="10"/>
  <c r="G5" i="10"/>
  <c r="F5" i="10"/>
  <c r="J4" i="10"/>
  <c r="F3" i="10"/>
  <c r="J15" i="4"/>
  <c r="G15" i="4"/>
  <c r="F15" i="4"/>
  <c r="I26" i="8"/>
  <c r="I16" i="8"/>
  <c r="I17" i="8"/>
  <c r="I18" i="8"/>
  <c r="I19" i="8"/>
  <c r="I20" i="8"/>
  <c r="I21" i="8"/>
  <c r="I22" i="8"/>
  <c r="I15" i="8"/>
  <c r="I4" i="8"/>
  <c r="I5" i="8"/>
  <c r="I6" i="8"/>
  <c r="I7" i="8"/>
  <c r="I8" i="8"/>
  <c r="I9" i="8"/>
  <c r="I10" i="8"/>
  <c r="I3" i="8"/>
  <c r="I11" i="8" l="1"/>
  <c r="I23" i="8"/>
  <c r="G4" i="10"/>
  <c r="K20" i="6"/>
  <c r="G20" i="6"/>
  <c r="I12" i="6"/>
  <c r="L12" i="6"/>
  <c r="H12" i="6"/>
  <c r="J6" i="7"/>
  <c r="J5" i="7"/>
  <c r="G6" i="7"/>
  <c r="F6" i="7"/>
  <c r="K11" i="1"/>
  <c r="K13" i="1"/>
  <c r="H13" i="1"/>
  <c r="H11" i="1"/>
  <c r="G13" i="1"/>
  <c r="G11" i="1"/>
  <c r="G4" i="7"/>
  <c r="G5" i="7"/>
  <c r="G3" i="7"/>
  <c r="F4" i="7"/>
  <c r="F5" i="7"/>
  <c r="F3" i="7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4" i="5"/>
  <c r="G4" i="4"/>
  <c r="G5" i="4"/>
  <c r="G6" i="4"/>
  <c r="G7" i="4"/>
  <c r="G8" i="4"/>
  <c r="G9" i="4"/>
  <c r="G10" i="4"/>
  <c r="G11" i="4"/>
  <c r="G12" i="4"/>
  <c r="G13" i="4"/>
  <c r="G14" i="4"/>
  <c r="G3" i="4"/>
  <c r="I8" i="6"/>
  <c r="I4" i="6"/>
  <c r="I5" i="6"/>
  <c r="I6" i="6"/>
  <c r="I7" i="6"/>
  <c r="I9" i="6"/>
  <c r="I10" i="6"/>
  <c r="I11" i="6"/>
  <c r="F45" i="3"/>
  <c r="H45" i="3" s="1"/>
  <c r="F44" i="3"/>
  <c r="H44" i="3" s="1"/>
  <c r="F43" i="3"/>
  <c r="H43" i="3" s="1"/>
  <c r="H31" i="3"/>
  <c r="K3" i="1"/>
  <c r="G3" i="1"/>
  <c r="H3" i="3"/>
  <c r="H4" i="3"/>
  <c r="H6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" i="3"/>
  <c r="H11" i="6"/>
  <c r="H10" i="6"/>
  <c r="H9" i="6"/>
  <c r="F7" i="7" l="1"/>
  <c r="G7" i="7"/>
  <c r="G21" i="5"/>
  <c r="H21" i="5"/>
  <c r="F4" i="4"/>
  <c r="F5" i="4"/>
  <c r="F6" i="4"/>
  <c r="F7" i="4"/>
  <c r="F8" i="4"/>
  <c r="F9" i="4"/>
  <c r="F10" i="4"/>
  <c r="F11" i="4"/>
  <c r="F12" i="4"/>
  <c r="F13" i="4"/>
  <c r="F14" i="4"/>
  <c r="F3" i="4"/>
  <c r="G3" i="3"/>
  <c r="G4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31" i="3"/>
  <c r="G43" i="3"/>
  <c r="G44" i="3"/>
  <c r="G45" i="3"/>
  <c r="G2" i="3"/>
  <c r="H4" i="6"/>
  <c r="H5" i="6"/>
  <c r="H6" i="6"/>
  <c r="H7" i="6"/>
  <c r="H3" i="6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  <c r="H5" i="1"/>
  <c r="H6" i="1"/>
  <c r="H8" i="1"/>
  <c r="H9" i="1"/>
  <c r="H10" i="1"/>
  <c r="G4" i="1"/>
  <c r="G5" i="1"/>
  <c r="G6" i="1"/>
  <c r="G8" i="1"/>
  <c r="G49" i="3" l="1"/>
  <c r="H19" i="2"/>
  <c r="F26" i="4"/>
  <c r="B10" i="9"/>
  <c r="H21" i="8"/>
  <c r="H22" i="8"/>
  <c r="H4" i="8"/>
  <c r="H5" i="8"/>
  <c r="H6" i="8"/>
  <c r="H7" i="8"/>
  <c r="H8" i="8"/>
  <c r="H9" i="8"/>
  <c r="H10" i="8"/>
  <c r="H3" i="8"/>
  <c r="E20" i="8"/>
  <c r="H20" i="8" s="1"/>
  <c r="E19" i="8"/>
  <c r="H19" i="8" s="1"/>
  <c r="E18" i="8"/>
  <c r="H18" i="8" s="1"/>
  <c r="E17" i="8"/>
  <c r="H17" i="8" s="1"/>
  <c r="E16" i="8"/>
  <c r="H16" i="8" s="1"/>
  <c r="E15" i="8"/>
  <c r="H15" i="8" s="1"/>
  <c r="J4" i="7"/>
  <c r="J3" i="7"/>
  <c r="L10" i="6"/>
  <c r="L11" i="6"/>
  <c r="L9" i="6"/>
  <c r="L4" i="6"/>
  <c r="L5" i="6"/>
  <c r="L6" i="6"/>
  <c r="L7" i="6"/>
  <c r="L8" i="6"/>
  <c r="L3" i="6"/>
  <c r="J3" i="6"/>
  <c r="I3" i="6" s="1"/>
  <c r="I20" i="6" s="1"/>
  <c r="K5" i="5"/>
  <c r="K6" i="5"/>
  <c r="K7" i="5"/>
  <c r="K8" i="5"/>
  <c r="K9" i="5"/>
  <c r="K11" i="5"/>
  <c r="K12" i="5"/>
  <c r="K13" i="5"/>
  <c r="K14" i="5"/>
  <c r="K15" i="5"/>
  <c r="K16" i="5"/>
  <c r="K17" i="5"/>
  <c r="K18" i="5"/>
  <c r="K19" i="5"/>
  <c r="K4" i="5"/>
  <c r="J4" i="4"/>
  <c r="J5" i="4"/>
  <c r="J6" i="4"/>
  <c r="J7" i="4"/>
  <c r="J8" i="4"/>
  <c r="J9" i="4"/>
  <c r="J10" i="4"/>
  <c r="J11" i="4"/>
  <c r="J12" i="4"/>
  <c r="J13" i="4"/>
  <c r="J14" i="4"/>
  <c r="J3" i="4"/>
  <c r="K3" i="3"/>
  <c r="K4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31" i="3"/>
  <c r="K43" i="3"/>
  <c r="K44" i="3"/>
  <c r="K45" i="3"/>
  <c r="K2" i="3"/>
  <c r="K4" i="2"/>
  <c r="K5" i="2"/>
  <c r="K6" i="2"/>
  <c r="K7" i="2"/>
  <c r="K8" i="2"/>
  <c r="K9" i="2"/>
  <c r="K10" i="2"/>
  <c r="K11" i="2"/>
  <c r="K13" i="2"/>
  <c r="K14" i="2"/>
  <c r="K15" i="2"/>
  <c r="K16" i="2"/>
  <c r="K17" i="2"/>
  <c r="K18" i="2"/>
  <c r="K3" i="2"/>
  <c r="E10" i="1"/>
  <c r="K10" i="1" s="1"/>
  <c r="K4" i="1"/>
  <c r="K5" i="1"/>
  <c r="K6" i="1"/>
  <c r="K8" i="1"/>
  <c r="E9" i="1"/>
  <c r="H7" i="1"/>
  <c r="E7" i="1"/>
  <c r="G7" i="1" s="1"/>
  <c r="J4" i="1"/>
  <c r="H4" i="1" s="1"/>
  <c r="J3" i="1"/>
  <c r="H3" i="1" s="1"/>
  <c r="H15" i="1" l="1"/>
  <c r="K21" i="5"/>
  <c r="B8" i="9" s="1"/>
  <c r="K49" i="3"/>
  <c r="L20" i="6"/>
  <c r="J7" i="7"/>
  <c r="H11" i="8"/>
  <c r="K12" i="2"/>
  <c r="K19" i="2" s="1"/>
  <c r="G12" i="2"/>
  <c r="G19" i="2" s="1"/>
  <c r="B3" i="9" s="1"/>
  <c r="K7" i="1"/>
  <c r="B9" i="9"/>
  <c r="J26" i="4"/>
  <c r="B7" i="9" s="1"/>
  <c r="B6" i="9"/>
  <c r="K9" i="1"/>
  <c r="G9" i="1"/>
  <c r="G10" i="1"/>
  <c r="H23" i="8"/>
  <c r="G15" i="1" l="1"/>
  <c r="K15" i="1"/>
  <c r="B5" i="9"/>
  <c r="B11" i="9" s="1"/>
</calcChain>
</file>

<file path=xl/sharedStrings.xml><?xml version="1.0" encoding="utf-8"?>
<sst xmlns="http://schemas.openxmlformats.org/spreadsheetml/2006/main" count="547" uniqueCount="440">
  <si>
    <t>Sr #</t>
  </si>
  <si>
    <t xml:space="preserve">Description </t>
  </si>
  <si>
    <t>Product Code</t>
  </si>
  <si>
    <t>Dimensions in cm</t>
  </si>
  <si>
    <t xml:space="preserve">Quantity </t>
  </si>
  <si>
    <t xml:space="preserve"> Breakage per unit </t>
  </si>
  <si>
    <t xml:space="preserve"> Rental per unit </t>
  </si>
  <si>
    <t xml:space="preserve">Small Rectangular Plate ( Half ) </t>
  </si>
  <si>
    <t>SRAM 4</t>
  </si>
  <si>
    <t>L- 11 x B - 7.5</t>
  </si>
  <si>
    <t>Rectangular Platter</t>
  </si>
  <si>
    <t>SRAM 6</t>
  </si>
  <si>
    <t>L-33 x B-11.25</t>
  </si>
  <si>
    <t>Small Round Edge Katori ( 150 ml )</t>
  </si>
  <si>
    <t>SRAM 10</t>
  </si>
  <si>
    <t>D-8.5 x H-4</t>
  </si>
  <si>
    <t xml:space="preserve">Without handle Bowl </t>
  </si>
  <si>
    <t>SRAM 12</t>
  </si>
  <si>
    <t>50 ml H - 1.75'' x W 2.5''</t>
  </si>
  <si>
    <t>Oval  Dish</t>
  </si>
  <si>
    <t>SRAM 13</t>
  </si>
  <si>
    <t>L-14 x B-7.0 x H-3</t>
  </si>
  <si>
    <t>Small Round Ramekin</t>
  </si>
  <si>
    <t>SRAM 18</t>
  </si>
  <si>
    <t>D-8 x H-2.5</t>
  </si>
  <si>
    <t>Sauce Dip Bowl ( 75 ml )</t>
  </si>
  <si>
    <t>SRAM 19</t>
  </si>
  <si>
    <t>D-7.5 x H-2.5</t>
  </si>
  <si>
    <t>Square Katori</t>
  </si>
  <si>
    <t>SRAM 20</t>
  </si>
  <si>
    <t>L-5.5 x B-5.5 x H- 3</t>
  </si>
  <si>
    <t xml:space="preserve">Discription </t>
  </si>
  <si>
    <t>Sr.No</t>
  </si>
  <si>
    <t>Code No</t>
  </si>
  <si>
    <t xml:space="preserve">Measurement </t>
  </si>
  <si>
    <t xml:space="preserve">Rent </t>
  </si>
  <si>
    <t xml:space="preserve">Breakage </t>
  </si>
  <si>
    <t>White W</t>
  </si>
  <si>
    <t>SRG 1</t>
  </si>
  <si>
    <t>Wine 02
40,5cl 13 ¾oz
H 215mm 8 ½"
D 86mm 3 ½"</t>
  </si>
  <si>
    <t>Red W</t>
  </si>
  <si>
    <t>SRG 2</t>
  </si>
  <si>
    <t>Wine 01
52cl 17 ¾oz
H 230mm 9"
D 93mm 3 ¾"</t>
  </si>
  <si>
    <t>Champagne</t>
  </si>
  <si>
    <t>SRG 3</t>
  </si>
  <si>
    <t>Champagne flute 09
22cl 7 ½oz
H 250mm 10"
D 70mm 2 ¾"</t>
  </si>
  <si>
    <t xml:space="preserve">cocktail </t>
  </si>
  <si>
    <t>SRG 4</t>
  </si>
  <si>
    <t>Paris Saucer Champ. 28
26 cl 8 ¾oz
H 131mm 5 ¼"
D 96mm 3 ¾"</t>
  </si>
  <si>
    <t>SRG 5</t>
  </si>
  <si>
    <t>Martini / Saucer Champ. 08
25 cl 8 ½oz
H 144mm 5 ¾"
D 98mm 4 "</t>
  </si>
  <si>
    <t xml:space="preserve">martini </t>
  </si>
  <si>
    <t>SRG 6</t>
  </si>
  <si>
    <t>Martini 28
30 cl 10 ¼oz
H 188mm 7 ½"
D 125mm 4 ½"</t>
  </si>
  <si>
    <t>Gin &amp; Tonic/ cocktail</t>
  </si>
  <si>
    <t>SRG 7</t>
  </si>
  <si>
    <t>Gin Tonic 00
63 cl 21 ½oz
H 203mm 8 "
D 105mm 4 ¼"</t>
  </si>
  <si>
    <t>Baloon</t>
  </si>
  <si>
    <t>SRG 8</t>
  </si>
  <si>
    <t>Brandy 18
40 cl 13 ½ oz
H 138mm 5 ½"
D 95mm 3 ¾"</t>
  </si>
  <si>
    <t>Whiskey tasting glass</t>
  </si>
  <si>
    <t>SRG 9</t>
  </si>
  <si>
    <t xml:space="preserve">Single Malt Whiskey  32
20 cl  ¾oz
</t>
  </si>
  <si>
    <t xml:space="preserve"> cocktail Tumbler</t>
  </si>
  <si>
    <t>SRG 10</t>
  </si>
  <si>
    <t>Cocktail tumbler 15
25 cl 8 ½oz
H 90mm 3 ½"
D 79mm 3 ¼"</t>
  </si>
  <si>
    <t>old fashiond</t>
  </si>
  <si>
    <t>SRG 11</t>
  </si>
  <si>
    <t>Singapore Double Old Fashioned 11oz (31cl)</t>
  </si>
  <si>
    <t>SRG 12</t>
  </si>
  <si>
    <t>Old Fashioned 16
39 cl 13 oz
H 90mm 3 ½"
D 95mm 3 ¾"</t>
  </si>
  <si>
    <t>High ball</t>
  </si>
  <si>
    <t>SRG 13</t>
  </si>
  <si>
    <t>Singapore Hiball 11.25oz (32cl)</t>
  </si>
  <si>
    <t>SRG 14</t>
  </si>
  <si>
    <t>Highball 12
46 cl 15 ½oz
H 145mm 5 ¾"
D 76mm 3 "</t>
  </si>
  <si>
    <t>Beer</t>
  </si>
  <si>
    <t>SRG 15</t>
  </si>
  <si>
    <t>Pilsener 19
36 cl 13 oz
H 184mm 7 ¼"
D 79mm 3 ¼"</t>
  </si>
  <si>
    <t>SRG 16</t>
  </si>
  <si>
    <t>Beer tumbler 19
38 cl 12 ¾oz
H 212mm 8 ¼"
D 80mm 3 ¼"</t>
  </si>
  <si>
    <t xml:space="preserve">Value </t>
  </si>
  <si>
    <t>SR. NO</t>
  </si>
  <si>
    <t xml:space="preserve">Code </t>
  </si>
  <si>
    <t>Description</t>
  </si>
  <si>
    <t>Specifications</t>
    <phoneticPr fontId="0" type="noConversion"/>
  </si>
  <si>
    <t xml:space="preserve">Breakage  </t>
  </si>
  <si>
    <t>SRB 1</t>
  </si>
  <si>
    <t>Ø 25 cm - h 6,5 cm I Ø 9,8 inch - h 2,6 inch</t>
  </si>
  <si>
    <t xml:space="preserve">Baroque dripping gold Glass  Bowl </t>
  </si>
  <si>
    <t>SRB 2</t>
  </si>
  <si>
    <t xml:space="preserve"> Ø 34 cm - h 10,5 cm I Ø 13,4 inch - h 4,1 inch</t>
  </si>
  <si>
    <t>Baroque dripping glold Glass Plate with Stand</t>
  </si>
  <si>
    <t>SRB 3</t>
  </si>
  <si>
    <t>Ø 37 cm - h 1,8 cm I Ø 14,6 inch - h 0,7 inch</t>
  </si>
  <si>
    <t xml:space="preserve">Baroque dripping  glod Glass platter round </t>
  </si>
  <si>
    <t>SRB 4</t>
  </si>
  <si>
    <t>Ø 22 cm - h 2,5 cm I Ø 8,7 inch - h 1 inch</t>
  </si>
  <si>
    <t>Baroque dripping gold dessert Glass Plate</t>
  </si>
  <si>
    <t>SRB 5</t>
  </si>
  <si>
    <t>Ø 37 cm - h 1,7 cm I Ø 14,6 inch - h 0,7 inch</t>
  </si>
  <si>
    <t>Baroque print Glass Plate</t>
  </si>
  <si>
    <t>SRB 6</t>
  </si>
  <si>
    <t xml:space="preserve"> Ø 26 cm - h 10,5 cm Ø 10,2 inch - h 4,1 inch</t>
  </si>
  <si>
    <t xml:space="preserve">Baroque print Glass Plate with Stand small </t>
  </si>
  <si>
    <t>SRB 7</t>
  </si>
  <si>
    <t>Ø 22 cm - h 3 cm I Ø 8,7 inch - h 1,2 inch</t>
  </si>
  <si>
    <t>uneven Baroque gold Glass Plate</t>
  </si>
  <si>
    <t>SRB 8</t>
  </si>
  <si>
    <t xml:space="preserve"> Ø 28 cm - h 8,5 cm</t>
  </si>
  <si>
    <t>Baroque gold buffet Glass Bowl</t>
  </si>
  <si>
    <t>SRB 9</t>
  </si>
  <si>
    <t>Ø 25 cm - h 14 cm
Ø 9,8 inch - h 5,5 inch</t>
  </si>
  <si>
    <t>Baroque printed gold Glass Bowl with Stand</t>
  </si>
  <si>
    <t>SRB 10</t>
  </si>
  <si>
    <t xml:space="preserve">10 cm * 10 cm </t>
  </si>
  <si>
    <t xml:space="preserve">Baroque square Mono Portions </t>
  </si>
  <si>
    <t>SRB 11</t>
  </si>
  <si>
    <t xml:space="preserve">Baroque round Mono Portions </t>
  </si>
  <si>
    <t>SRB 12</t>
  </si>
  <si>
    <t xml:space="preserve">8.25 cm * 11.5 cm </t>
  </si>
  <si>
    <t xml:space="preserve">baroque oval Mono Portions </t>
  </si>
  <si>
    <t>SRB 13</t>
  </si>
  <si>
    <t xml:space="preserve">7.5 cm * 10 cm </t>
  </si>
  <si>
    <t xml:space="preserve">Baroque oval small Mono Portions </t>
  </si>
  <si>
    <t>SRB RG 1</t>
  </si>
  <si>
    <t xml:space="preserve">Baroque round Rose gold Mono Portions </t>
  </si>
  <si>
    <t>SRB RGP 1</t>
  </si>
  <si>
    <t xml:space="preserve">32 Cm * 18cm </t>
  </si>
  <si>
    <t>Baroque round Rose gold long plate</t>
  </si>
  <si>
    <t>SRB 14</t>
  </si>
  <si>
    <t>Dimensions: Ext: 59,3x23,5cm, Height: 27,6cm</t>
  </si>
  <si>
    <t>SRB 15</t>
  </si>
  <si>
    <t>Dimensions: Ext: 38,2x14,5cm, Height: 37,3cm</t>
  </si>
  <si>
    <t xml:space="preserve">Metal and Glass Charlie Stand </t>
  </si>
  <si>
    <t>SRB 16</t>
  </si>
  <si>
    <t>Dimensions: Ext.diam: 15,0cm, Height: 18,0cm, Capacity: 270 ml</t>
  </si>
  <si>
    <t xml:space="preserve">Metal and glass stand with 3 bowls </t>
  </si>
  <si>
    <t>SRB 17</t>
  </si>
  <si>
    <t xml:space="preserve"> Dimensions: Ext: 101,5x22,5cm, Height: 12,6cm</t>
  </si>
  <si>
    <t xml:space="preserve">Metal Stand with Monoportion display </t>
  </si>
  <si>
    <t>SRB 18</t>
  </si>
  <si>
    <t>Dimensions: Ext: 101,5x22,5cm, Height: 12,6cm</t>
  </si>
  <si>
    <t xml:space="preserve">Metal Stand with 6 inch glass plate for display </t>
  </si>
  <si>
    <t>SRB 19</t>
  </si>
  <si>
    <t>Dimensions: Ext: 35,0x13,0cm, Height: 31,5cm, Capacity: 195 ml</t>
  </si>
  <si>
    <t xml:space="preserve">Metal Gold Stand with 3 glass plates </t>
  </si>
  <si>
    <t>SRB 20</t>
  </si>
  <si>
    <r>
      <t xml:space="preserve"> Dimensions: Ext: 78,0x70,0cm, Height: 15,0cm </t>
    </r>
    <r>
      <rPr>
        <sz val="11"/>
        <color rgb="FFFF0000"/>
        <rFont val="Aptos"/>
        <family val="2"/>
      </rPr>
      <t>(FULL SET)</t>
    </r>
  </si>
  <si>
    <t xml:space="preserve"> 1 UNIT Large </t>
  </si>
  <si>
    <t>Metal Stand and glass platter L</t>
  </si>
  <si>
    <t xml:space="preserve">  1 UINTS Mid </t>
  </si>
  <si>
    <t>Metal Stand and glass platter M</t>
  </si>
  <si>
    <t xml:space="preserve">1 UNIT Small </t>
  </si>
  <si>
    <t>Metal Stand and glass platter S</t>
  </si>
  <si>
    <t>Sl No</t>
  </si>
  <si>
    <t>DESCRIPTION</t>
  </si>
  <si>
    <t>ITEM CODE</t>
  </si>
  <si>
    <t>Metal Risers 1
Black Matte FInish
 25 x 21 x 15cm</t>
  </si>
  <si>
    <t>SR MBW 1</t>
  </si>
  <si>
    <t>Metal Risers 1
Black Matte FInish
 25 x 21 x 20cm</t>
  </si>
  <si>
    <t>SR MBW 2</t>
  </si>
  <si>
    <t>Metal Risers 1
Black Matte FInish
 25 x 21 x 25cm</t>
  </si>
  <si>
    <t>SR MBW 3</t>
  </si>
  <si>
    <t>Metal Risers 6
Black Matte FInish
D21cm x H10cm</t>
  </si>
  <si>
    <t>SR MBW 4</t>
  </si>
  <si>
    <t>Metal Risers 6
Black Matte FInish
D21cm x H20cm</t>
  </si>
  <si>
    <t>SR MBW 5</t>
  </si>
  <si>
    <t>Metal Risers 2
Black Matte FInish
 18 x 18 x 10 cm</t>
  </si>
  <si>
    <t>SR MBW 6</t>
  </si>
  <si>
    <t>Metal Risers 2
Black Matte FInish
 18 x 18 x 15 cm</t>
  </si>
  <si>
    <t>SR MBW 7</t>
  </si>
  <si>
    <t>Metal Risers 2
Black Matte FInish
 18 x 18 x 20 cm</t>
  </si>
  <si>
    <t>SR MBW 8</t>
  </si>
  <si>
    <t>Metal Risers 1
Black Matte FInish
 25 x 21 x 10cm</t>
  </si>
  <si>
    <t>SR MBW 9</t>
  </si>
  <si>
    <t>SR MBW 10</t>
  </si>
  <si>
    <t>SR MBW 11</t>
  </si>
  <si>
    <t xml:space="preserve">Half Round Solid Riser Big
PVD Champagne Gold Matte (1 set has 2 units)
</t>
  </si>
  <si>
    <t>SR MBW-12</t>
  </si>
  <si>
    <t>S.No</t>
  </si>
  <si>
    <t>Item Code</t>
  </si>
  <si>
    <t xml:space="preserve">Images </t>
  </si>
  <si>
    <t>Particular</t>
  </si>
  <si>
    <t>Qty of each unit</t>
  </si>
  <si>
    <t xml:space="preserve">Rent per Unit </t>
  </si>
  <si>
    <t xml:space="preserve"> Breakage </t>
  </si>
  <si>
    <t xml:space="preserve">MIRROR </t>
  </si>
  <si>
    <t>SR GMRB 1</t>
  </si>
  <si>
    <t xml:space="preserve">Brown beveled mirror  Large 18inch Round </t>
  </si>
  <si>
    <t>SR GMRB 2</t>
  </si>
  <si>
    <t xml:space="preserve">Brown beveled Mirror Mid 15inch Round </t>
  </si>
  <si>
    <t>SR GMRB 3</t>
  </si>
  <si>
    <t xml:space="preserve">Brown beveled mirror Small 12 inch Round </t>
  </si>
  <si>
    <t>SR-GMR 1</t>
  </si>
  <si>
    <t xml:space="preserve"> Beveled mirror  Large 16 x 21 inch Uneven </t>
  </si>
  <si>
    <t>SR-GMR 2</t>
  </si>
  <si>
    <t xml:space="preserve">Beveled Mirror Mid  15 x 20  Uneven </t>
  </si>
  <si>
    <t>SR-GMR 3</t>
  </si>
  <si>
    <t xml:space="preserve">Beveled mirror Small  14 x 19 inch  Uneven </t>
  </si>
  <si>
    <t xml:space="preserve">TRANSPARENT </t>
  </si>
  <si>
    <t>SR-GAT 1</t>
  </si>
  <si>
    <t xml:space="preserve">Transparent  beveled glass  Large 9 x28 Arrow </t>
  </si>
  <si>
    <t>SR-GAT 2</t>
  </si>
  <si>
    <t xml:space="preserve">Transparent  beveled glass Mid 9 x 24 Arrow </t>
  </si>
  <si>
    <t>SR-GAT 3</t>
  </si>
  <si>
    <t xml:space="preserve">Transparent  beveled glass Small 9 x 20 Arrow </t>
  </si>
  <si>
    <t>SR-GOT1</t>
  </si>
  <si>
    <t xml:space="preserve">Transparent  beveled glass  Large 12 x24 Oval </t>
  </si>
  <si>
    <t>SR-GOT 2</t>
  </si>
  <si>
    <t xml:space="preserve">Transparent  beveled glass Mid 12 x 20 Oval  </t>
  </si>
  <si>
    <t>SR-GOT 3</t>
  </si>
  <si>
    <t xml:space="preserve">Transparent  beveled glass Small 12 x 16 Oval  </t>
  </si>
  <si>
    <t>SR-GA 1</t>
  </si>
  <si>
    <t xml:space="preserve">Brown beveled glass  Large 9 x28 Arrow </t>
  </si>
  <si>
    <t>SR-GA 2</t>
  </si>
  <si>
    <t xml:space="preserve">Brown beveled glass Mid 9 x 24 Arrow </t>
  </si>
  <si>
    <t>SR-GA 3</t>
  </si>
  <si>
    <t xml:space="preserve">Brown beveled glass Small 9 x 20 Arrow </t>
  </si>
  <si>
    <t xml:space="preserve">Sr No </t>
  </si>
  <si>
    <t xml:space="preserve">Green </t>
  </si>
  <si>
    <t>Grey</t>
  </si>
  <si>
    <t xml:space="preserve">Pink </t>
  </si>
  <si>
    <t>SRAB 1</t>
  </si>
  <si>
    <t>Tall Edge Big Bowl D-24 x H-9.5</t>
  </si>
  <si>
    <t>SRAB 2</t>
  </si>
  <si>
    <t>Tall Edge Small Bowl D-14 x H-8</t>
  </si>
  <si>
    <t>SRAB 3</t>
  </si>
  <si>
    <t>Double Portion Serving                  Bowl D-25 x H-6.5</t>
  </si>
  <si>
    <t>SRAB 4</t>
  </si>
  <si>
    <t>Single Portion Serving                  Bowl  D-20 x H-6.5</t>
  </si>
  <si>
    <t>SRAB 5</t>
  </si>
  <si>
    <t>Sink Bowl ( 650 ml ) D-15 x H-8</t>
  </si>
  <si>
    <t>SRAM 7</t>
  </si>
  <si>
    <t>Atle / Krish Bowl Small ( 325 ml D-13 x H- 6.5</t>
  </si>
  <si>
    <t>SRP 1</t>
  </si>
  <si>
    <t>SRP  2</t>
  </si>
  <si>
    <t xml:space="preserve">SRP 3 </t>
  </si>
  <si>
    <t>SR DIN P 1</t>
  </si>
  <si>
    <t xml:space="preserve">MODERN GREEN DINNER PLATE </t>
  </si>
  <si>
    <t xml:space="preserve">SR SID P 1 </t>
  </si>
  <si>
    <t xml:space="preserve">MODERN GREEN SIDE PLATE </t>
  </si>
  <si>
    <t>SR DIN B 1</t>
  </si>
  <si>
    <t>MODERN GREEN KATORI  (190ml)</t>
  </si>
  <si>
    <t>Sr No</t>
  </si>
  <si>
    <t>Rent</t>
  </si>
  <si>
    <t xml:space="preserve">Breakege </t>
  </si>
  <si>
    <t xml:space="preserve">Quantity  </t>
  </si>
  <si>
    <t>DESIGN NAME</t>
  </si>
  <si>
    <t>ITEM DESCRIPTION</t>
  </si>
  <si>
    <t xml:space="preserve">Qty </t>
  </si>
  <si>
    <t>DURBAN</t>
  </si>
  <si>
    <t>SR-D CUT  1</t>
  </si>
  <si>
    <r>
      <t xml:space="preserve">Durban Mocca Spoon                                                           </t>
    </r>
    <r>
      <rPr>
        <b/>
        <sz val="9"/>
        <rFont val="Aptos"/>
        <family val="2"/>
      </rPr>
      <t>L: 114.00 mm ; T: 2.50 mm</t>
    </r>
  </si>
  <si>
    <t>SR-D CUT  2</t>
  </si>
  <si>
    <r>
      <t xml:space="preserve">Durban Tea Spoon                                                               </t>
    </r>
    <r>
      <rPr>
        <b/>
        <sz val="9"/>
        <rFont val="Aptos"/>
        <family val="2"/>
      </rPr>
      <t>L: 146.00 mm ; T: 3.00 mm</t>
    </r>
  </si>
  <si>
    <t>SR-D CUT  3</t>
  </si>
  <si>
    <r>
      <t xml:space="preserve">Durban Dinner Spoon                                                           </t>
    </r>
    <r>
      <rPr>
        <b/>
        <sz val="9"/>
        <rFont val="Aptos"/>
        <family val="2"/>
      </rPr>
      <t>L: 189.00 mm ; T: 3.50 mm</t>
    </r>
  </si>
  <si>
    <t>SR-D CUT  4</t>
  </si>
  <si>
    <r>
      <t xml:space="preserve">Durban Dinner Fork                                                                 </t>
    </r>
    <r>
      <rPr>
        <b/>
        <sz val="9"/>
        <rFont val="Aptos"/>
        <family val="2"/>
      </rPr>
      <t>L: 189.00 mm ; T: 3.50 mm</t>
    </r>
  </si>
  <si>
    <t>SR-D CUT  5</t>
  </si>
  <si>
    <r>
      <t xml:space="preserve">Durban Dinner Knife                                                                </t>
    </r>
    <r>
      <rPr>
        <b/>
        <sz val="9"/>
        <rFont val="Aptos"/>
        <family val="2"/>
      </rPr>
      <t>L: 205.00 mm ; T: 7.00 mm</t>
    </r>
  </si>
  <si>
    <t>SR-D CUT  6</t>
  </si>
  <si>
    <r>
      <t xml:space="preserve">Durban Soup Spoon                                                                    </t>
    </r>
    <r>
      <rPr>
        <b/>
        <sz val="9"/>
        <rFont val="Aptos"/>
        <family val="2"/>
      </rPr>
      <t>L: 187.40 mm ; T: 3.50 mm</t>
    </r>
  </si>
  <si>
    <t>SR-D CUT  7</t>
  </si>
  <si>
    <r>
      <t xml:space="preserve">Durban Serving Spoon                                                </t>
    </r>
    <r>
      <rPr>
        <b/>
        <sz val="9"/>
        <rFont val="Aptos"/>
        <family val="2"/>
      </rPr>
      <t>L: 217.70 mm ; T: 4.00 mm</t>
    </r>
  </si>
  <si>
    <t>SR-D CUT  8</t>
  </si>
  <si>
    <r>
      <t xml:space="preserve">Durban Serving Fork                                                       </t>
    </r>
    <r>
      <rPr>
        <b/>
        <sz val="9"/>
        <rFont val="Aptos"/>
        <family val="2"/>
      </rPr>
      <t>L: 218.20 mm ; T: 4.00 mm</t>
    </r>
  </si>
  <si>
    <t>Breakage</t>
  </si>
  <si>
    <t>DURBAN- Rose Gold</t>
  </si>
  <si>
    <t>SR-DG CUT 1</t>
  </si>
  <si>
    <r>
      <t xml:space="preserve">Durban Mocca Spoon                                                           </t>
    </r>
    <r>
      <rPr>
        <b/>
        <sz val="9"/>
        <rFont val="Calibri"/>
        <family val="2"/>
        <scheme val="minor"/>
      </rPr>
      <t>L: 114.00 mm ; T: 2.50 mm</t>
    </r>
  </si>
  <si>
    <t>SR-DG CUT 2</t>
  </si>
  <si>
    <r>
      <t xml:space="preserve">Durban Tea Spoon                                                               </t>
    </r>
    <r>
      <rPr>
        <b/>
        <sz val="9"/>
        <rFont val="Calibri"/>
        <family val="2"/>
        <scheme val="minor"/>
      </rPr>
      <t>L: 146.00 mm ; T: 3.00 mm</t>
    </r>
  </si>
  <si>
    <t>SR-DG CUT 3</t>
  </si>
  <si>
    <r>
      <t xml:space="preserve">Durban Dinner Spoon                                                           </t>
    </r>
    <r>
      <rPr>
        <b/>
        <sz val="9"/>
        <rFont val="Calibri"/>
        <family val="2"/>
        <scheme val="minor"/>
      </rPr>
      <t>L: 189.00 mm ; T: 3.50 mm</t>
    </r>
  </si>
  <si>
    <t>SR-DG CUT 4</t>
  </si>
  <si>
    <r>
      <t xml:space="preserve">Durban Dinner Fork                                                                 </t>
    </r>
    <r>
      <rPr>
        <b/>
        <sz val="9"/>
        <rFont val="Calibri"/>
        <family val="2"/>
        <scheme val="minor"/>
      </rPr>
      <t>L: 189.00 mm ; T: 3.50 mm</t>
    </r>
  </si>
  <si>
    <t>SR-DG CUT 5</t>
  </si>
  <si>
    <r>
      <t xml:space="preserve">Durban Dinner Knife                                                                </t>
    </r>
    <r>
      <rPr>
        <b/>
        <sz val="9"/>
        <rFont val="Calibri"/>
        <family val="2"/>
        <scheme val="minor"/>
      </rPr>
      <t>L: 205.00 mm ; T: 7.00 mm</t>
    </r>
  </si>
  <si>
    <t>SR-DG CUT 6</t>
  </si>
  <si>
    <r>
      <t xml:space="preserve">Durban Soup Spoon                                                                    </t>
    </r>
    <r>
      <rPr>
        <b/>
        <sz val="9"/>
        <rFont val="Calibri"/>
        <family val="2"/>
        <scheme val="minor"/>
      </rPr>
      <t>L: 187.40 mm ; T: 3.50 mm</t>
    </r>
  </si>
  <si>
    <t>SR-DG CUT 7</t>
  </si>
  <si>
    <r>
      <t xml:space="preserve">Durban Serving Spoon                                                </t>
    </r>
    <r>
      <rPr>
        <b/>
        <sz val="9"/>
        <rFont val="Calibri"/>
        <family val="2"/>
        <scheme val="minor"/>
      </rPr>
      <t>L: 217.70 mm ; T: 4.00 mm</t>
    </r>
  </si>
  <si>
    <t>SR-DG CUT 8</t>
  </si>
  <si>
    <r>
      <t xml:space="preserve">Durban Serving Fork                                                       </t>
    </r>
    <r>
      <rPr>
        <b/>
        <sz val="9"/>
        <rFont val="Calibri"/>
        <family val="2"/>
        <scheme val="minor"/>
      </rPr>
      <t>L: 218.20 mm ; T: 4.00 mm</t>
    </r>
  </si>
  <si>
    <t xml:space="preserve">Glassware </t>
  </si>
  <si>
    <t xml:space="preserve">Baroque </t>
  </si>
  <si>
    <t>Mono Atrevo</t>
  </si>
  <si>
    <t xml:space="preserve">Platters &amp; bowls </t>
  </si>
  <si>
    <t xml:space="preserve">Metal ware </t>
  </si>
  <si>
    <t xml:space="preserve">Mirror ware </t>
  </si>
  <si>
    <t xml:space="preserve">plates </t>
  </si>
  <si>
    <t xml:space="preserve">Cutlury </t>
  </si>
  <si>
    <t xml:space="preserve">Products </t>
  </si>
  <si>
    <t xml:space="preserve">Total </t>
  </si>
  <si>
    <t xml:space="preserve">Our Purchase </t>
  </si>
  <si>
    <t xml:space="preserve">Our Purchase Value </t>
  </si>
  <si>
    <t xml:space="preserve">P.VALUE </t>
  </si>
  <si>
    <t xml:space="preserve">ROI on Rent </t>
  </si>
  <si>
    <t xml:space="preserve">Champagne Saucer </t>
  </si>
  <si>
    <t xml:space="preserve">Total Purchase value </t>
  </si>
  <si>
    <t xml:space="preserve">Client brakage  </t>
  </si>
  <si>
    <t xml:space="preserve">Rectangle One 37.0cm x 16.5cm (14½" x 6½") - Steelite 
</t>
  </si>
  <si>
    <t xml:space="preserve">Vesuvius Amber Square One 27cm x 27cm (10 5/8\ x 10 5/8\) -Steelite </t>
  </si>
  <si>
    <t xml:space="preserve">Ink Nomad Blue Plate Coupe 25.5cm 10\ - Steelite </t>
  </si>
  <si>
    <t xml:space="preserve">total Purchase value </t>
  </si>
  <si>
    <t xml:space="preserve">Total Purchase .VALUE </t>
  </si>
  <si>
    <t xml:space="preserve">Uneven Quarter plate Indigo Blue </t>
  </si>
  <si>
    <t xml:space="preserve">SRAM 21 </t>
  </si>
  <si>
    <t xml:space="preserve">Uneven Quarter plate Earth </t>
  </si>
  <si>
    <t>SRAM 22</t>
  </si>
  <si>
    <t>16 CM</t>
  </si>
  <si>
    <t>SR DES 1</t>
  </si>
  <si>
    <t>Black rim flat plate (18mm)</t>
  </si>
  <si>
    <t>SRAB 9</t>
  </si>
  <si>
    <t>SRAB 10</t>
  </si>
  <si>
    <t xml:space="preserve">Rectangle One 37.0cm x 16.5cm (14½" x 6½") - Indigo blue 
</t>
  </si>
  <si>
    <t xml:space="preserve">Rectangle One 37.0cm x 16.5cm (14½" x 6½") - Olive green 
</t>
  </si>
  <si>
    <t>Actual Purchase With GST</t>
  </si>
  <si>
    <t xml:space="preserve">SR -DBX CAKE 1 </t>
  </si>
  <si>
    <t xml:space="preserve">Dubai rose gold Cake kinfe set of 2 </t>
  </si>
  <si>
    <t>Rent %</t>
  </si>
  <si>
    <t xml:space="preserve">ITEM CODE </t>
  </si>
  <si>
    <t xml:space="preserve">Metal and Glass leaf pate </t>
  </si>
  <si>
    <t xml:space="preserve">Metal Stand and glass platter (Fell set ) 3 units </t>
  </si>
  <si>
    <t>SR MBW-13</t>
  </si>
  <si>
    <t xml:space="preserve">Total Purchase Value </t>
  </si>
  <si>
    <t xml:space="preserve">Gold and white cake stand </t>
  </si>
  <si>
    <t>Round gold salad / cake stand (plate options  extra)</t>
  </si>
  <si>
    <t xml:space="preserve">Metal Gold Stand with 17 glass plates </t>
  </si>
  <si>
    <t xml:space="preserve">Glass Mono portion </t>
  </si>
  <si>
    <t xml:space="preserve">gold round stairway charlie </t>
  </si>
  <si>
    <t>Rose gold bowl (Large)</t>
  </si>
  <si>
    <t>Rose gold bowl (Mid size)</t>
  </si>
  <si>
    <t>Rose gold bowl (Small size)</t>
  </si>
  <si>
    <t xml:space="preserve">Brown glass bowl - 400 ml </t>
  </si>
  <si>
    <t xml:space="preserve">Black  glass bowl - 400 ml </t>
  </si>
  <si>
    <t>SRGB -21</t>
  </si>
  <si>
    <t xml:space="preserve">SRGB -20 </t>
  </si>
  <si>
    <t xml:space="preserve">SRAM -30 </t>
  </si>
  <si>
    <t>Rectangular Glass platter  (  green 11 , blue 11 , red 11)</t>
  </si>
  <si>
    <t xml:space="preserve">SR CHF -1 </t>
  </si>
  <si>
    <t xml:space="preserve">SR LAD 1 </t>
  </si>
  <si>
    <t>SR LAD 2</t>
  </si>
  <si>
    <t>Casoral with warmer  6Ltr</t>
  </si>
  <si>
    <t>ladel</t>
  </si>
  <si>
    <t>Half Round MiD  Solid Riser Big PVD Champagne Gold Matte (1 set has 2 units)</t>
  </si>
  <si>
    <t xml:space="preserve">SR BMW -13 </t>
  </si>
  <si>
    <t>SR BMW -14</t>
  </si>
  <si>
    <t>SR BMW-14</t>
  </si>
  <si>
    <t>SR BMW -15</t>
  </si>
  <si>
    <t xml:space="preserve">SR GOLD -1 </t>
  </si>
  <si>
    <t xml:space="preserve">SR GOLD -2 </t>
  </si>
  <si>
    <t xml:space="preserve">SR GOLD -3 </t>
  </si>
  <si>
    <t xml:space="preserve">Half Square  Solid Riser Big PVD Dark Champagne Gold Matte (1 set has 2 units) Large </t>
  </si>
  <si>
    <t>Half Square  Solid Riser BigPVD Dark Champagne Gold Matte (1 set has 2 units)- Small size</t>
  </si>
  <si>
    <t xml:space="preserve">Round Gold cake / buffet riser </t>
  </si>
  <si>
    <t xml:space="preserve">Uneven Gold cake / buffet riser </t>
  </si>
  <si>
    <t>Metal Risers Gold  ( ROUND  MID SIZE  )</t>
  </si>
  <si>
    <t xml:space="preserve">Half Round Solid Riser Gold  (1 set has 2 units) - Large </t>
  </si>
  <si>
    <t xml:space="preserve">Half Round Solid Riser  Gold  (1 set has 2 units) - Samll </t>
  </si>
  <si>
    <t xml:space="preserve">SRB 32 </t>
  </si>
  <si>
    <t>SRB 33</t>
  </si>
  <si>
    <t>SRB 34</t>
  </si>
  <si>
    <t>SRB 35</t>
  </si>
  <si>
    <t>SRB 36</t>
  </si>
  <si>
    <t>SRB 37</t>
  </si>
  <si>
    <t>SRB 38</t>
  </si>
  <si>
    <t xml:space="preserve">Baroque gold design Glass platter round </t>
  </si>
  <si>
    <t xml:space="preserve">Baroque gold &amp; white Glass platter round </t>
  </si>
  <si>
    <t>Baroque gold &amp; white design Glass platter round               ( LARGE )</t>
  </si>
  <si>
    <t>Baroque gold &amp; white design Glass platter round               ( MID )</t>
  </si>
  <si>
    <t>Baroque Gold Mono Portions With Stand</t>
  </si>
  <si>
    <t>Baroque Black Mono Portions With Stand</t>
  </si>
  <si>
    <t>White and gold bread plate</t>
  </si>
  <si>
    <r>
      <t xml:space="preserve">White &amp; Gold bread / dessert Box  </t>
    </r>
    <r>
      <rPr>
        <b/>
        <sz val="11"/>
        <color theme="1"/>
        <rFont val="Aptos"/>
        <family val="2"/>
      </rPr>
      <t xml:space="preserve">Large </t>
    </r>
  </si>
  <si>
    <r>
      <t>White &amp; Gold bread / dessert Box</t>
    </r>
    <r>
      <rPr>
        <b/>
        <sz val="11"/>
        <color theme="1"/>
        <rFont val="Aptos"/>
        <family val="2"/>
      </rPr>
      <t xml:space="preserve"> Big</t>
    </r>
  </si>
  <si>
    <r>
      <t xml:space="preserve">White &amp; Gold bread / dessert Box  </t>
    </r>
    <r>
      <rPr>
        <b/>
        <sz val="11"/>
        <color theme="1"/>
        <rFont val="Aptos"/>
        <family val="2"/>
      </rPr>
      <t>MiD</t>
    </r>
  </si>
  <si>
    <r>
      <t xml:space="preserve">White &amp; Gold bread / dessert Box </t>
    </r>
    <r>
      <rPr>
        <b/>
        <sz val="11"/>
        <color theme="1"/>
        <rFont val="Aptos"/>
        <family val="2"/>
      </rPr>
      <t>Small</t>
    </r>
  </si>
  <si>
    <t>SRB 28</t>
  </si>
  <si>
    <t>SRB 29</t>
  </si>
  <si>
    <t>SRB 32</t>
  </si>
  <si>
    <t>SR TEA 1</t>
  </si>
  <si>
    <t>Asain tea set with 6 cups and 1 pot (Red)</t>
  </si>
  <si>
    <t>SR-GWBP -1</t>
  </si>
  <si>
    <t>Rectangular Platter ( Yellow with white inside )</t>
  </si>
  <si>
    <t>Brown beveled glass Small 20CM ( 2 in  shade White , sky blue , pink)</t>
  </si>
  <si>
    <t>SRGB-22</t>
  </si>
  <si>
    <t xml:space="preserve">Glass Bowl  White </t>
  </si>
  <si>
    <t xml:space="preserve">Leaf Mono Portion Mix Color </t>
  </si>
  <si>
    <t>Baroque dripping gold dinner Glass Plate</t>
  </si>
  <si>
    <t>Baroque dripping gold Quater Glass Plate</t>
  </si>
  <si>
    <t>SRB 41</t>
  </si>
  <si>
    <t>Baroque dripping Silver dinner Glass Plate</t>
  </si>
  <si>
    <t xml:space="preserve">Mini gold soup spoon </t>
  </si>
  <si>
    <t xml:space="preserve">Long gold heart spoon </t>
  </si>
  <si>
    <t>Long gold flower spoon 1</t>
  </si>
  <si>
    <t>Long gold flower spoon  2</t>
  </si>
  <si>
    <t>Long gold flower spoon 3</t>
  </si>
  <si>
    <t>SR -DBX SOUP  1</t>
  </si>
  <si>
    <t>SR -DBX  long spoon 1</t>
  </si>
  <si>
    <t>SR -DBX long spoon 2</t>
  </si>
  <si>
    <t>SR -DBX  long spoon 3</t>
  </si>
  <si>
    <t>SR -DBX long spoon 4</t>
  </si>
  <si>
    <t>SRAM 23</t>
  </si>
  <si>
    <t>Gold Small Fork</t>
  </si>
  <si>
    <t xml:space="preserve">Silver Small Fork </t>
  </si>
  <si>
    <t>SR-SG-F 1</t>
  </si>
  <si>
    <t>SR-SS-F 2</t>
  </si>
  <si>
    <t>Mini Bowl Mix Colour</t>
  </si>
  <si>
    <t>SR-MB 1</t>
  </si>
  <si>
    <t>SRB 52</t>
  </si>
  <si>
    <t>SRB 51</t>
  </si>
  <si>
    <t>5''</t>
  </si>
  <si>
    <t>Transperent Gold sauce plate</t>
  </si>
  <si>
    <t>6"</t>
  </si>
  <si>
    <t xml:space="preserve">Silver Bread Plate </t>
  </si>
  <si>
    <t>SRAG -20</t>
  </si>
  <si>
    <t xml:space="preserve">Glass Platter long in black 22 inch by 6 inch </t>
  </si>
  <si>
    <t>SR T-1</t>
  </si>
  <si>
    <t xml:space="preserve">SS Utility Tong </t>
  </si>
  <si>
    <t>SR T-2</t>
  </si>
  <si>
    <t xml:space="preserve">SS Sugar Tong </t>
  </si>
  <si>
    <t>SR STR-1</t>
  </si>
  <si>
    <t>SR STR-2</t>
  </si>
  <si>
    <t>SR STR-3</t>
  </si>
  <si>
    <t>SR STR-4</t>
  </si>
  <si>
    <t xml:space="preserve">Serving Tray Round 16 inch </t>
  </si>
  <si>
    <t>SR JD-1</t>
  </si>
  <si>
    <t>Juice Dispenser</t>
  </si>
  <si>
    <t>SR ST-1</t>
  </si>
  <si>
    <t>Soup Tarean</t>
  </si>
  <si>
    <t xml:space="preserve">Serving Tray Round 14 inch </t>
  </si>
  <si>
    <t xml:space="preserve">Serving Tray SQR 16 inch </t>
  </si>
  <si>
    <t xml:space="preserve">Serving Tray SQR 18inch </t>
  </si>
  <si>
    <t>SR SUP LAD-1</t>
  </si>
  <si>
    <t xml:space="preserve">Soup Laddle </t>
  </si>
  <si>
    <t>SR NPH-1</t>
  </si>
  <si>
    <t xml:space="preserve">Name Plate Holder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</si>
</sst>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  <numFmt numFmtId="166" formatCode="0\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indexed="8"/>
      <name val="Aptos"/>
      <family val="2"/>
    </font>
    <font>
      <sz val="11"/>
      <color rgb="FFFF0000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sz val="11"/>
      <name val="Aptos"/>
      <family val="2"/>
    </font>
    <font>
      <sz val="12"/>
      <color theme="1"/>
      <name val="Calibri"/>
      <family val="2"/>
      <charset val="136"/>
      <scheme val="minor"/>
    </font>
    <font>
      <sz val="11"/>
      <color rgb="FF000000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b/>
      <sz val="9"/>
      <color theme="1"/>
      <name val="Aptos"/>
      <family val="2"/>
    </font>
    <font>
      <b/>
      <sz val="9"/>
      <name val="Aptos"/>
      <family val="2"/>
    </font>
    <font>
      <sz val="10"/>
      <color theme="1"/>
      <name val="Aptos"/>
      <family val="2"/>
    </font>
    <font>
      <b/>
      <sz val="9"/>
      <name val="Calibri"/>
      <family val="2"/>
      <scheme val="minor"/>
    </font>
    <font>
      <i/>
      <sz val="16"/>
      <color theme="1"/>
      <name val="Aptos"/>
      <family val="2"/>
    </font>
    <font>
      <b/>
      <i/>
      <sz val="16"/>
      <color theme="1"/>
      <name val="Aptos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theme="0"/>
      <name val="Aptos"/>
      <family val="2"/>
    </font>
    <font>
      <sz val="12"/>
      <color indexed="8"/>
      <name val="Aptos"/>
      <family val="2"/>
    </font>
    <font>
      <b/>
      <sz val="11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indexed="8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  <xf numFmtId="9" fontId="1" fillId="0" borderId="0" applyFont="0" applyFill="0" applyBorder="0" applyAlignment="0" applyProtection="0"/>
  </cellStyleXfs>
  <cellXfs count="325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3" fillId="3" borderId="5" xfId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 wrapText="1"/>
    </xf>
    <xf numFmtId="43" fontId="0" fillId="0" borderId="0" xfId="1" applyFont="1"/>
    <xf numFmtId="164" fontId="0" fillId="0" borderId="0" xfId="1" applyNumberFormat="1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164" fontId="3" fillId="3" borderId="5" xfId="1" applyNumberFormat="1" applyFont="1" applyFill="1" applyBorder="1" applyAlignment="1">
      <alignment horizontal="left" vertical="center"/>
    </xf>
    <xf numFmtId="164" fontId="3" fillId="4" borderId="5" xfId="1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43" fontId="8" fillId="0" borderId="13" xfId="1" applyFont="1" applyBorder="1" applyAlignment="1">
      <alignment horizontal="center" vertical="center" wrapText="1"/>
    </xf>
    <xf numFmtId="43" fontId="7" fillId="0" borderId="13" xfId="1" applyFont="1" applyFill="1" applyBorder="1" applyAlignment="1">
      <alignment horizontal="center" vertical="center"/>
    </xf>
    <xf numFmtId="43" fontId="7" fillId="0" borderId="5" xfId="1" applyFont="1" applyBorder="1" applyAlignment="1">
      <alignment horizontal="center" vertical="center"/>
    </xf>
    <xf numFmtId="43" fontId="8" fillId="3" borderId="13" xfId="1" applyFont="1" applyFill="1" applyBorder="1" applyAlignment="1">
      <alignment horizontal="center" vertical="center" wrapText="1"/>
    </xf>
    <xf numFmtId="43" fontId="8" fillId="3" borderId="5" xfId="1" applyFont="1" applyFill="1" applyBorder="1" applyAlignment="1">
      <alignment horizontal="center" vertical="center" wrapText="1"/>
    </xf>
    <xf numFmtId="43" fontId="3" fillId="5" borderId="5" xfId="1" applyFont="1" applyFill="1" applyBorder="1" applyAlignment="1">
      <alignment horizontal="center" vertical="center" wrapText="1"/>
    </xf>
    <xf numFmtId="43" fontId="8" fillId="0" borderId="5" xfId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 wrapText="1"/>
    </xf>
    <xf numFmtId="0" fontId="11" fillId="3" borderId="5" xfId="2" applyFont="1" applyFill="1" applyBorder="1" applyAlignment="1">
      <alignment horizontal="left" vertical="center" wrapText="1" readingOrder="1"/>
    </xf>
    <xf numFmtId="164" fontId="5" fillId="4" borderId="5" xfId="1" applyNumberFormat="1" applyFont="1" applyFill="1" applyBorder="1" applyAlignment="1">
      <alignment vertical="center" wrapText="1"/>
    </xf>
    <xf numFmtId="164" fontId="5" fillId="12" borderId="5" xfId="1" applyNumberFormat="1" applyFont="1" applyFill="1" applyBorder="1" applyAlignment="1">
      <alignment vertical="center" wrapText="1"/>
    </xf>
    <xf numFmtId="164" fontId="5" fillId="11" borderId="5" xfId="1" applyNumberFormat="1" applyFont="1" applyFill="1" applyBorder="1" applyAlignment="1">
      <alignment vertical="center" wrapText="1"/>
    </xf>
    <xf numFmtId="164" fontId="4" fillId="0" borderId="5" xfId="1" applyNumberFormat="1" applyFont="1" applyBorder="1" applyAlignment="1"/>
    <xf numFmtId="164" fontId="5" fillId="13" borderId="5" xfId="1" applyNumberFormat="1" applyFont="1" applyFill="1" applyBorder="1" applyAlignment="1">
      <alignment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5" fillId="3" borderId="5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66" fontId="13" fillId="0" borderId="5" xfId="0" applyNumberFormat="1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66" fontId="13" fillId="0" borderId="8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14" fillId="14" borderId="17" xfId="0" applyFont="1" applyFill="1" applyBorder="1" applyAlignment="1">
      <alignment vertical="center" wrapText="1"/>
    </xf>
    <xf numFmtId="0" fontId="14" fillId="14" borderId="18" xfId="0" applyFont="1" applyFill="1" applyBorder="1" applyAlignment="1">
      <alignment vertical="center" wrapText="1"/>
    </xf>
    <xf numFmtId="165" fontId="14" fillId="14" borderId="18" xfId="1" applyNumberFormat="1" applyFont="1" applyFill="1" applyBorder="1" applyAlignment="1">
      <alignment vertical="center" wrapText="1"/>
    </xf>
    <xf numFmtId="165" fontId="14" fillId="14" borderId="18" xfId="1" applyNumberFormat="1" applyFont="1" applyFill="1" applyBorder="1" applyAlignment="1">
      <alignment horizontal="center" vertical="center"/>
    </xf>
    <xf numFmtId="165" fontId="14" fillId="14" borderId="19" xfId="1" applyNumberFormat="1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166" fontId="13" fillId="14" borderId="5" xfId="0" applyNumberFormat="1" applyFont="1" applyFill="1" applyBorder="1" applyAlignment="1">
      <alignment horizontal="left" vertical="center" wrapText="1"/>
    </xf>
    <xf numFmtId="0" fontId="13" fillId="14" borderId="5" xfId="0" applyFont="1" applyFill="1" applyBorder="1" applyAlignment="1">
      <alignment horizontal="left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166" fontId="13" fillId="14" borderId="8" xfId="0" applyNumberFormat="1" applyFont="1" applyFill="1" applyBorder="1" applyAlignment="1">
      <alignment horizontal="left" vertical="center" wrapText="1"/>
    </xf>
    <xf numFmtId="164" fontId="12" fillId="0" borderId="5" xfId="1" applyNumberFormat="1" applyFont="1" applyFill="1" applyBorder="1" applyAlignment="1">
      <alignment horizontal="left" vertical="center" wrapText="1"/>
    </xf>
    <xf numFmtId="164" fontId="16" fillId="0" borderId="5" xfId="1" applyNumberFormat="1" applyFont="1" applyBorder="1" applyAlignment="1">
      <alignment horizontal="left" vertical="center"/>
    </xf>
    <xf numFmtId="164" fontId="16" fillId="0" borderId="6" xfId="1" applyNumberFormat="1" applyFont="1" applyBorder="1" applyAlignment="1">
      <alignment horizontal="left" vertical="center"/>
    </xf>
    <xf numFmtId="164" fontId="12" fillId="0" borderId="8" xfId="1" applyNumberFormat="1" applyFont="1" applyFill="1" applyBorder="1" applyAlignment="1">
      <alignment horizontal="left" vertical="center" wrapText="1"/>
    </xf>
    <xf numFmtId="164" fontId="16" fillId="0" borderId="8" xfId="1" applyNumberFormat="1" applyFont="1" applyBorder="1" applyAlignment="1">
      <alignment horizontal="left" vertical="center" wrapText="1"/>
    </xf>
    <xf numFmtId="164" fontId="16" fillId="0" borderId="16" xfId="1" applyNumberFormat="1" applyFont="1" applyBorder="1" applyAlignment="1">
      <alignment horizontal="left" vertical="center" wrapText="1"/>
    </xf>
    <xf numFmtId="164" fontId="0" fillId="0" borderId="0" xfId="1" applyNumberFormat="1" applyFont="1" applyAlignment="1">
      <alignment horizontal="center" vertical="center" wrapText="1"/>
    </xf>
    <xf numFmtId="164" fontId="14" fillId="0" borderId="9" xfId="1" applyNumberFormat="1" applyFont="1" applyBorder="1" applyAlignment="1">
      <alignment horizontal="left" vertical="center"/>
    </xf>
    <xf numFmtId="164" fontId="12" fillId="14" borderId="5" xfId="1" applyNumberFormat="1" applyFont="1" applyFill="1" applyBorder="1" applyAlignment="1">
      <alignment horizontal="center" vertical="center" wrapText="1"/>
    </xf>
    <xf numFmtId="164" fontId="16" fillId="14" borderId="5" xfId="1" applyNumberFormat="1" applyFont="1" applyFill="1" applyBorder="1" applyAlignment="1">
      <alignment horizontal="center" vertical="center"/>
    </xf>
    <xf numFmtId="164" fontId="16" fillId="14" borderId="6" xfId="1" applyNumberFormat="1" applyFont="1" applyFill="1" applyBorder="1" applyAlignment="1">
      <alignment horizontal="center" vertical="center"/>
    </xf>
    <xf numFmtId="164" fontId="12" fillId="14" borderId="8" xfId="1" applyNumberFormat="1" applyFont="1" applyFill="1" applyBorder="1" applyAlignment="1">
      <alignment horizontal="center" vertical="center" wrapText="1"/>
    </xf>
    <xf numFmtId="164" fontId="16" fillId="14" borderId="8" xfId="1" applyNumberFormat="1" applyFont="1" applyFill="1" applyBorder="1" applyAlignment="1">
      <alignment horizontal="center" vertical="center" wrapText="1"/>
    </xf>
    <xf numFmtId="164" fontId="16" fillId="14" borderId="16" xfId="1" applyNumberFormat="1" applyFont="1" applyFill="1" applyBorder="1" applyAlignment="1">
      <alignment horizontal="center" vertical="center" wrapText="1"/>
    </xf>
    <xf numFmtId="164" fontId="14" fillId="14" borderId="9" xfId="1" applyNumberFormat="1" applyFont="1" applyFill="1" applyBorder="1" applyAlignment="1">
      <alignment horizontal="center" vertical="center"/>
    </xf>
    <xf numFmtId="0" fontId="18" fillId="0" borderId="5" xfId="0" applyFont="1" applyBorder="1"/>
    <xf numFmtId="164" fontId="18" fillId="0" borderId="5" xfId="1" applyNumberFormat="1" applyFont="1" applyBorder="1"/>
    <xf numFmtId="164" fontId="19" fillId="0" borderId="5" xfId="1" applyNumberFormat="1" applyFont="1" applyBorder="1"/>
    <xf numFmtId="164" fontId="19" fillId="0" borderId="5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164" fontId="7" fillId="3" borderId="5" xfId="1" applyNumberFormat="1" applyFont="1" applyFill="1" applyBorder="1" applyAlignment="1">
      <alignment horizontal="center" vertical="center"/>
    </xf>
    <xf numFmtId="164" fontId="7" fillId="4" borderId="6" xfId="1" applyNumberFormat="1" applyFont="1" applyFill="1" applyBorder="1" applyAlignment="1">
      <alignment horizontal="center" vertical="center" wrapText="1"/>
    </xf>
    <xf numFmtId="0" fontId="4" fillId="0" borderId="0" xfId="0" applyFont="1"/>
    <xf numFmtId="9" fontId="0" fillId="0" borderId="0" xfId="0" applyNumberFormat="1"/>
    <xf numFmtId="0" fontId="8" fillId="2" borderId="23" xfId="0" applyFont="1" applyFill="1" applyBorder="1" applyAlignment="1">
      <alignment horizontal="center" vertical="center"/>
    </xf>
    <xf numFmtId="164" fontId="7" fillId="4" borderId="24" xfId="1" applyNumberFormat="1" applyFont="1" applyFill="1" applyBorder="1" applyAlignment="1">
      <alignment horizontal="center" vertical="center" wrapText="1"/>
    </xf>
    <xf numFmtId="164" fontId="7" fillId="4" borderId="25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9" fontId="7" fillId="5" borderId="6" xfId="1" applyNumberFormat="1" applyFont="1" applyFill="1" applyBorder="1" applyAlignment="1">
      <alignment horizontal="center" vertical="center" wrapText="1"/>
    </xf>
    <xf numFmtId="164" fontId="7" fillId="5" borderId="5" xfId="1" applyNumberFormat="1" applyFont="1" applyFill="1" applyBorder="1" applyAlignment="1">
      <alignment horizontal="center" vertical="center"/>
    </xf>
    <xf numFmtId="164" fontId="7" fillId="4" borderId="26" xfId="1" applyNumberFormat="1" applyFont="1" applyFill="1" applyBorder="1" applyAlignment="1">
      <alignment horizontal="center" vertical="center" wrapText="1"/>
    </xf>
    <xf numFmtId="164" fontId="7" fillId="4" borderId="16" xfId="1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9" fontId="7" fillId="3" borderId="0" xfId="1" applyNumberFormat="1" applyFont="1" applyFill="1" applyBorder="1" applyAlignment="1">
      <alignment horizontal="center" vertical="center"/>
    </xf>
    <xf numFmtId="9" fontId="7" fillId="4" borderId="26" xfId="1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164" fontId="3" fillId="3" borderId="22" xfId="1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164" fontId="3" fillId="5" borderId="4" xfId="1" applyNumberFormat="1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 wrapText="1"/>
    </xf>
    <xf numFmtId="164" fontId="3" fillId="3" borderId="24" xfId="1" applyNumberFormat="1" applyFont="1" applyFill="1" applyBorder="1" applyAlignment="1">
      <alignment horizontal="left" vertical="center"/>
    </xf>
    <xf numFmtId="9" fontId="3" fillId="5" borderId="6" xfId="1" applyNumberFormat="1" applyFont="1" applyFill="1" applyBorder="1" applyAlignment="1">
      <alignment horizontal="left" vertical="center"/>
    </xf>
    <xf numFmtId="43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164" fontId="7" fillId="3" borderId="5" xfId="1" applyNumberFormat="1" applyFont="1" applyFill="1" applyBorder="1" applyAlignment="1">
      <alignment horizontal="left" vertical="center"/>
    </xf>
    <xf numFmtId="164" fontId="7" fillId="3" borderId="22" xfId="1" applyNumberFormat="1" applyFont="1" applyFill="1" applyBorder="1" applyAlignment="1">
      <alignment horizontal="left" vertical="center"/>
    </xf>
    <xf numFmtId="164" fontId="7" fillId="5" borderId="4" xfId="1" applyNumberFormat="1" applyFont="1" applyFill="1" applyBorder="1" applyAlignment="1">
      <alignment horizontal="left" vertical="center"/>
    </xf>
    <xf numFmtId="9" fontId="7" fillId="5" borderId="6" xfId="1" applyNumberFormat="1" applyFont="1" applyFill="1" applyBorder="1" applyAlignment="1">
      <alignment horizontal="left" vertical="center"/>
    </xf>
    <xf numFmtId="164" fontId="7" fillId="4" borderId="24" xfId="1" applyNumberFormat="1" applyFont="1" applyFill="1" applyBorder="1" applyAlignment="1">
      <alignment horizontal="left" vertical="center" wrapText="1"/>
    </xf>
    <xf numFmtId="164" fontId="7" fillId="4" borderId="6" xfId="1" applyNumberFormat="1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164" fontId="7" fillId="3" borderId="20" xfId="1" applyNumberFormat="1" applyFont="1" applyFill="1" applyBorder="1" applyAlignment="1">
      <alignment horizontal="left" vertical="center"/>
    </xf>
    <xf numFmtId="164" fontId="7" fillId="3" borderId="28" xfId="1" applyNumberFormat="1" applyFont="1" applyFill="1" applyBorder="1" applyAlignment="1">
      <alignment horizontal="left" vertical="center"/>
    </xf>
    <xf numFmtId="164" fontId="7" fillId="5" borderId="27" xfId="1" applyNumberFormat="1" applyFont="1" applyFill="1" applyBorder="1" applyAlignment="1">
      <alignment horizontal="left" vertical="center"/>
    </xf>
    <xf numFmtId="9" fontId="7" fillId="5" borderId="10" xfId="1" applyNumberFormat="1" applyFont="1" applyFill="1" applyBorder="1" applyAlignment="1">
      <alignment horizontal="left" vertical="center"/>
    </xf>
    <xf numFmtId="164" fontId="7" fillId="4" borderId="29" xfId="1" applyNumberFormat="1" applyFont="1" applyFill="1" applyBorder="1" applyAlignment="1">
      <alignment horizontal="left" vertical="center" wrapText="1"/>
    </xf>
    <xf numFmtId="164" fontId="7" fillId="4" borderId="10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5" borderId="30" xfId="0" applyFill="1" applyBorder="1" applyAlignment="1">
      <alignment horizontal="left"/>
    </xf>
    <xf numFmtId="164" fontId="7" fillId="4" borderId="26" xfId="1" applyNumberFormat="1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22" fillId="15" borderId="5" xfId="0" applyFont="1" applyFill="1" applyBorder="1" applyAlignment="1">
      <alignment horizontal="left" vertical="center"/>
    </xf>
    <xf numFmtId="164" fontId="22" fillId="15" borderId="5" xfId="1" applyNumberFormat="1" applyFont="1" applyFill="1" applyBorder="1" applyAlignment="1">
      <alignment horizontal="left" vertical="center"/>
    </xf>
    <xf numFmtId="164" fontId="22" fillId="15" borderId="22" xfId="1" applyNumberFormat="1" applyFont="1" applyFill="1" applyBorder="1" applyAlignment="1">
      <alignment horizontal="left" vertical="center"/>
    </xf>
    <xf numFmtId="164" fontId="22" fillId="15" borderId="4" xfId="1" applyNumberFormat="1" applyFont="1" applyFill="1" applyBorder="1" applyAlignment="1">
      <alignment horizontal="left" vertical="center"/>
    </xf>
    <xf numFmtId="9" fontId="22" fillId="15" borderId="6" xfId="1" applyNumberFormat="1" applyFont="1" applyFill="1" applyBorder="1" applyAlignment="1">
      <alignment horizontal="left" vertical="center"/>
    </xf>
    <xf numFmtId="164" fontId="22" fillId="15" borderId="24" xfId="1" applyNumberFormat="1" applyFont="1" applyFill="1" applyBorder="1" applyAlignment="1">
      <alignment horizontal="left" vertical="center" wrapText="1"/>
    </xf>
    <xf numFmtId="164" fontId="22" fillId="15" borderId="6" xfId="1" applyNumberFormat="1" applyFont="1" applyFill="1" applyBorder="1" applyAlignment="1">
      <alignment horizontal="left" vertical="center" wrapText="1"/>
    </xf>
    <xf numFmtId="9" fontId="8" fillId="0" borderId="13" xfId="1" applyNumberFormat="1" applyFont="1" applyBorder="1" applyAlignment="1">
      <alignment horizontal="center" vertical="center" wrapText="1"/>
    </xf>
    <xf numFmtId="9" fontId="3" fillId="5" borderId="5" xfId="1" applyNumberFormat="1" applyFont="1" applyFill="1" applyBorder="1" applyAlignment="1">
      <alignment horizontal="center" vertical="center" wrapText="1"/>
    </xf>
    <xf numFmtId="9" fontId="3" fillId="3" borderId="5" xfId="1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43" fontId="2" fillId="2" borderId="5" xfId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43" fontId="2" fillId="2" borderId="5" xfId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43" fontId="3" fillId="5" borderId="5" xfId="1" applyFont="1" applyFill="1" applyBorder="1" applyAlignment="1">
      <alignment horizontal="center" vertical="center"/>
    </xf>
    <xf numFmtId="9" fontId="3" fillId="5" borderId="5" xfId="1" applyNumberFormat="1" applyFont="1" applyFill="1" applyBorder="1" applyAlignment="1">
      <alignment horizontal="center" vertical="center"/>
    </xf>
    <xf numFmtId="164" fontId="3" fillId="5" borderId="5" xfId="1" applyNumberFormat="1" applyFont="1" applyFill="1" applyBorder="1" applyAlignment="1">
      <alignment horizontal="center" vertical="center" wrapText="1"/>
    </xf>
    <xf numFmtId="164" fontId="5" fillId="5" borderId="5" xfId="1" applyNumberFormat="1" applyFont="1" applyFill="1" applyBorder="1" applyAlignment="1">
      <alignment vertical="center" wrapText="1"/>
    </xf>
    <xf numFmtId="9" fontId="5" fillId="5" borderId="5" xfId="1" applyNumberFormat="1" applyFont="1" applyFill="1" applyBorder="1" applyAlignment="1">
      <alignment vertical="center" wrapText="1"/>
    </xf>
    <xf numFmtId="164" fontId="4" fillId="0" borderId="5" xfId="1" applyNumberFormat="1" applyFont="1" applyBorder="1" applyAlignment="1">
      <alignment vertical="center" wrapText="1"/>
    </xf>
    <xf numFmtId="164" fontId="1" fillId="0" borderId="5" xfId="1" applyNumberFormat="1" applyFont="1" applyBorder="1"/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3" fillId="4" borderId="2" xfId="0" applyFont="1" applyFill="1" applyBorder="1" applyAlignment="1">
      <alignment vertical="center" wrapText="1"/>
    </xf>
    <xf numFmtId="0" fontId="23" fillId="10" borderId="2" xfId="0" applyFont="1" applyFill="1" applyBorder="1" applyAlignment="1">
      <alignment vertical="center" wrapText="1"/>
    </xf>
    <xf numFmtId="0" fontId="23" fillId="11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164" fontId="4" fillId="0" borderId="6" xfId="1" applyNumberFormat="1" applyFont="1" applyBorder="1" applyAlignment="1"/>
    <xf numFmtId="0" fontId="9" fillId="0" borderId="4" xfId="0" applyFont="1" applyBorder="1" applyAlignment="1">
      <alignment horizontal="center" vertical="center"/>
    </xf>
    <xf numFmtId="0" fontId="24" fillId="16" borderId="7" xfId="0" applyFont="1" applyFill="1" applyBorder="1" applyAlignment="1">
      <alignment horizontal="center" vertical="center"/>
    </xf>
    <xf numFmtId="0" fontId="25" fillId="16" borderId="8" xfId="2" applyFont="1" applyFill="1" applyBorder="1" applyAlignment="1">
      <alignment horizontal="left" vertical="center" wrapText="1" readingOrder="1"/>
    </xf>
    <xf numFmtId="0" fontId="3" fillId="16" borderId="8" xfId="0" applyFont="1" applyFill="1" applyBorder="1" applyAlignment="1">
      <alignment vertical="center" wrapText="1"/>
    </xf>
    <xf numFmtId="164" fontId="26" fillId="16" borderId="8" xfId="1" applyNumberFormat="1" applyFont="1" applyFill="1" applyBorder="1" applyAlignment="1">
      <alignment horizontal="center" vertical="center" wrapText="1"/>
    </xf>
    <xf numFmtId="164" fontId="20" fillId="16" borderId="8" xfId="1" applyNumberFormat="1" applyFont="1" applyFill="1" applyBorder="1"/>
    <xf numFmtId="164" fontId="26" fillId="16" borderId="8" xfId="1" applyNumberFormat="1" applyFont="1" applyFill="1" applyBorder="1" applyAlignment="1">
      <alignment horizontal="center" vertical="center"/>
    </xf>
    <xf numFmtId="164" fontId="27" fillId="16" borderId="8" xfId="1" applyNumberFormat="1" applyFont="1" applyFill="1" applyBorder="1" applyAlignment="1">
      <alignment vertical="center" wrapText="1"/>
    </xf>
    <xf numFmtId="9" fontId="27" fillId="16" borderId="8" xfId="1" applyNumberFormat="1" applyFont="1" applyFill="1" applyBorder="1" applyAlignment="1">
      <alignment vertical="center" wrapText="1"/>
    </xf>
    <xf numFmtId="164" fontId="26" fillId="16" borderId="8" xfId="1" applyNumberFormat="1" applyFont="1" applyFill="1" applyBorder="1" applyAlignment="1">
      <alignment vertical="center" wrapText="1"/>
    </xf>
    <xf numFmtId="164" fontId="26" fillId="16" borderId="8" xfId="1" applyNumberFormat="1" applyFont="1" applyFill="1" applyBorder="1" applyAlignment="1"/>
    <xf numFmtId="164" fontId="26" fillId="16" borderId="16" xfId="1" applyNumberFormat="1" applyFont="1" applyFill="1" applyBorder="1" applyAlignment="1"/>
    <xf numFmtId="10" fontId="0" fillId="0" borderId="0" xfId="0" applyNumberFormat="1"/>
    <xf numFmtId="9" fontId="16" fillId="0" borderId="6" xfId="1" applyNumberFormat="1" applyFont="1" applyBorder="1" applyAlignment="1">
      <alignment horizontal="left" vertical="center"/>
    </xf>
    <xf numFmtId="9" fontId="16" fillId="0" borderId="16" xfId="1" applyNumberFormat="1" applyFont="1" applyBorder="1" applyAlignment="1">
      <alignment horizontal="left" vertical="center" wrapText="1"/>
    </xf>
    <xf numFmtId="9" fontId="14" fillId="0" borderId="9" xfId="1" applyNumberFormat="1" applyFont="1" applyBorder="1" applyAlignment="1">
      <alignment horizontal="left" vertical="center"/>
    </xf>
    <xf numFmtId="9" fontId="16" fillId="14" borderId="6" xfId="1" applyNumberFormat="1" applyFont="1" applyFill="1" applyBorder="1" applyAlignment="1">
      <alignment horizontal="center" vertical="center"/>
    </xf>
    <xf numFmtId="9" fontId="16" fillId="14" borderId="16" xfId="1" applyNumberFormat="1" applyFont="1" applyFill="1" applyBorder="1" applyAlignment="1">
      <alignment horizontal="center" vertical="center" wrapText="1"/>
    </xf>
    <xf numFmtId="9" fontId="14" fillId="14" borderId="9" xfId="1" applyNumberFormat="1" applyFont="1" applyFill="1" applyBorder="1" applyAlignment="1">
      <alignment horizontal="center" vertical="center"/>
    </xf>
    <xf numFmtId="0" fontId="14" fillId="17" borderId="17" xfId="0" applyFont="1" applyFill="1" applyBorder="1" applyAlignment="1">
      <alignment vertical="center" wrapText="1"/>
    </xf>
    <xf numFmtId="165" fontId="14" fillId="17" borderId="19" xfId="1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43" fontId="2" fillId="2" borderId="20" xfId="1" applyFont="1" applyFill="1" applyBorder="1" applyAlignment="1">
      <alignment horizontal="center" vertical="center" wrapText="1"/>
    </xf>
    <xf numFmtId="43" fontId="2" fillId="2" borderId="20" xfId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0" fillId="0" borderId="5" xfId="0" applyFont="1" applyBorder="1"/>
    <xf numFmtId="0" fontId="8" fillId="2" borderId="2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8" fillId="5" borderId="29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9" fontId="0" fillId="0" borderId="24" xfId="3" applyFont="1" applyBorder="1" applyAlignment="1">
      <alignment horizontal="center"/>
    </xf>
    <xf numFmtId="164" fontId="20" fillId="5" borderId="14" xfId="1" applyNumberFormat="1" applyFont="1" applyFill="1" applyBorder="1"/>
    <xf numFmtId="164" fontId="0" fillId="5" borderId="30" xfId="1" applyNumberFormat="1" applyFont="1" applyFill="1" applyBorder="1"/>
    <xf numFmtId="164" fontId="2" fillId="2" borderId="26" xfId="1" applyNumberFormat="1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 wrapText="1"/>
    </xf>
    <xf numFmtId="0" fontId="3" fillId="18" borderId="5" xfId="0" applyFont="1" applyFill="1" applyBorder="1" applyAlignment="1">
      <alignment horizontal="left" vertical="center"/>
    </xf>
    <xf numFmtId="0" fontId="2" fillId="18" borderId="5" xfId="0" applyFont="1" applyFill="1" applyBorder="1" applyAlignment="1">
      <alignment horizontal="left" vertical="center" wrapText="1"/>
    </xf>
    <xf numFmtId="164" fontId="3" fillId="18" borderId="5" xfId="1" applyNumberFormat="1" applyFont="1" applyFill="1" applyBorder="1" applyAlignment="1">
      <alignment horizontal="left" vertical="center"/>
    </xf>
    <xf numFmtId="164" fontId="3" fillId="18" borderId="22" xfId="1" applyNumberFormat="1" applyFont="1" applyFill="1" applyBorder="1" applyAlignment="1">
      <alignment horizontal="left" vertical="center"/>
    </xf>
    <xf numFmtId="164" fontId="3" fillId="18" borderId="4" xfId="1" applyNumberFormat="1" applyFont="1" applyFill="1" applyBorder="1" applyAlignment="1">
      <alignment horizontal="left" vertical="center"/>
    </xf>
    <xf numFmtId="9" fontId="3" fillId="18" borderId="6" xfId="1" applyNumberFormat="1" applyFont="1" applyFill="1" applyBorder="1" applyAlignment="1">
      <alignment horizontal="left" vertical="center"/>
    </xf>
    <xf numFmtId="0" fontId="3" fillId="18" borderId="5" xfId="0" applyFont="1" applyFill="1" applyBorder="1" applyAlignment="1">
      <alignment horizontal="left" vertical="center" wrapText="1"/>
    </xf>
    <xf numFmtId="0" fontId="22" fillId="15" borderId="13" xfId="0" applyFont="1" applyFill="1" applyBorder="1" applyAlignment="1">
      <alignment horizontal="left" vertical="center"/>
    </xf>
    <xf numFmtId="164" fontId="22" fillId="15" borderId="13" xfId="1" applyNumberFormat="1" applyFont="1" applyFill="1" applyBorder="1" applyAlignment="1">
      <alignment horizontal="left" vertical="center"/>
    </xf>
    <xf numFmtId="164" fontId="22" fillId="15" borderId="33" xfId="1" applyNumberFormat="1" applyFont="1" applyFill="1" applyBorder="1" applyAlignment="1">
      <alignment horizontal="left" vertical="center"/>
    </xf>
    <xf numFmtId="164" fontId="22" fillId="15" borderId="12" xfId="1" applyNumberFormat="1" applyFont="1" applyFill="1" applyBorder="1" applyAlignment="1">
      <alignment horizontal="left" vertical="center"/>
    </xf>
    <xf numFmtId="9" fontId="22" fillId="15" borderId="34" xfId="1" applyNumberFormat="1" applyFont="1" applyFill="1" applyBorder="1" applyAlignment="1">
      <alignment horizontal="left" vertical="center"/>
    </xf>
    <xf numFmtId="164" fontId="22" fillId="15" borderId="35" xfId="1" applyNumberFormat="1" applyFont="1" applyFill="1" applyBorder="1" applyAlignment="1">
      <alignment horizontal="left" vertical="center" wrapText="1"/>
    </xf>
    <xf numFmtId="164" fontId="22" fillId="15" borderId="34" xfId="1" applyNumberFormat="1" applyFont="1" applyFill="1" applyBorder="1" applyAlignment="1">
      <alignment horizontal="left" vertical="center" wrapText="1"/>
    </xf>
    <xf numFmtId="164" fontId="7" fillId="5" borderId="5" xfId="1" applyNumberFormat="1" applyFont="1" applyFill="1" applyBorder="1" applyAlignment="1">
      <alignment horizontal="left" vertical="center"/>
    </xf>
    <xf numFmtId="9" fontId="7" fillId="5" borderId="5" xfId="1" applyNumberFormat="1" applyFont="1" applyFill="1" applyBorder="1" applyAlignment="1">
      <alignment horizontal="left" vertical="center"/>
    </xf>
    <xf numFmtId="0" fontId="22" fillId="15" borderId="12" xfId="0" applyFont="1" applyFill="1" applyBorder="1" applyAlignment="1">
      <alignment horizontal="left" vertical="center" wrapText="1"/>
    </xf>
    <xf numFmtId="0" fontId="22" fillId="15" borderId="13" xfId="0" applyFont="1" applyFill="1" applyBorder="1" applyAlignment="1">
      <alignment horizontal="left" vertical="center" wrapText="1"/>
    </xf>
    <xf numFmtId="9" fontId="0" fillId="0" borderId="5" xfId="3" applyFont="1" applyBorder="1" applyAlignment="1">
      <alignment horizontal="center"/>
    </xf>
    <xf numFmtId="0" fontId="7" fillId="0" borderId="20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43" fontId="8" fillId="0" borderId="11" xfId="1" applyFont="1" applyBorder="1" applyAlignment="1">
      <alignment horizontal="center" vertical="center" wrapText="1"/>
    </xf>
    <xf numFmtId="43" fontId="7" fillId="0" borderId="11" xfId="1" applyFont="1" applyFill="1" applyBorder="1" applyAlignment="1">
      <alignment horizontal="center" vertical="center"/>
    </xf>
    <xf numFmtId="43" fontId="7" fillId="0" borderId="20" xfId="1" applyFont="1" applyBorder="1" applyAlignment="1">
      <alignment horizontal="center" vertical="center"/>
    </xf>
    <xf numFmtId="9" fontId="8" fillId="0" borderId="11" xfId="1" applyNumberFormat="1" applyFont="1" applyBorder="1" applyAlignment="1">
      <alignment horizontal="center" vertical="center" wrapText="1"/>
    </xf>
    <xf numFmtId="43" fontId="3" fillId="0" borderId="13" xfId="1" applyFont="1" applyBorder="1" applyAlignment="1">
      <alignment horizontal="center" vertical="center" wrapText="1"/>
    </xf>
    <xf numFmtId="9" fontId="3" fillId="0" borderId="13" xfId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9" fontId="8" fillId="0" borderId="5" xfId="1" applyNumberFormat="1" applyFont="1" applyBorder="1" applyAlignment="1">
      <alignment horizontal="center" vertical="center" wrapText="1"/>
    </xf>
    <xf numFmtId="43" fontId="7" fillId="0" borderId="5" xfId="1" applyFont="1" applyFill="1" applyBorder="1" applyAlignment="1">
      <alignment horizontal="center" vertical="center"/>
    </xf>
    <xf numFmtId="164" fontId="22" fillId="15" borderId="27" xfId="1" applyNumberFormat="1" applyFont="1" applyFill="1" applyBorder="1" applyAlignment="1">
      <alignment horizontal="left" vertical="center"/>
    </xf>
    <xf numFmtId="0" fontId="22" fillId="15" borderId="27" xfId="0" applyFont="1" applyFill="1" applyBorder="1" applyAlignment="1">
      <alignment horizontal="left" vertical="center" wrapText="1"/>
    </xf>
    <xf numFmtId="0" fontId="22" fillId="15" borderId="20" xfId="0" applyFont="1" applyFill="1" applyBorder="1" applyAlignment="1">
      <alignment horizontal="left" vertical="center" wrapText="1"/>
    </xf>
    <xf numFmtId="0" fontId="22" fillId="15" borderId="20" xfId="0" applyFont="1" applyFill="1" applyBorder="1" applyAlignment="1">
      <alignment horizontal="left" vertical="center"/>
    </xf>
    <xf numFmtId="164" fontId="22" fillId="15" borderId="20" xfId="1" applyNumberFormat="1" applyFont="1" applyFill="1" applyBorder="1" applyAlignment="1">
      <alignment horizontal="left" vertical="center"/>
    </xf>
    <xf numFmtId="164" fontId="22" fillId="15" borderId="28" xfId="1" applyNumberFormat="1" applyFont="1" applyFill="1" applyBorder="1" applyAlignment="1">
      <alignment horizontal="left" vertical="center"/>
    </xf>
    <xf numFmtId="9" fontId="22" fillId="15" borderId="10" xfId="1" applyNumberFormat="1" applyFont="1" applyFill="1" applyBorder="1" applyAlignment="1">
      <alignment horizontal="left" vertical="center"/>
    </xf>
    <xf numFmtId="164" fontId="22" fillId="15" borderId="29" xfId="1" applyNumberFormat="1" applyFont="1" applyFill="1" applyBorder="1" applyAlignment="1">
      <alignment horizontal="left" vertical="center" wrapText="1"/>
    </xf>
    <xf numFmtId="164" fontId="22" fillId="15" borderId="10" xfId="1" applyNumberFormat="1" applyFont="1" applyFill="1" applyBorder="1" applyAlignment="1">
      <alignment horizontal="left" vertical="center" wrapText="1"/>
    </xf>
    <xf numFmtId="164" fontId="7" fillId="5" borderId="12" xfId="1" applyNumberFormat="1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24" xfId="0" applyFill="1" applyBorder="1"/>
    <xf numFmtId="0" fontId="7" fillId="19" borderId="5" xfId="0" applyFont="1" applyFill="1" applyBorder="1" applyAlignment="1">
      <alignment horizontal="left" vertical="center"/>
    </xf>
    <xf numFmtId="164" fontId="7" fillId="19" borderId="5" xfId="1" applyNumberFormat="1" applyFont="1" applyFill="1" applyBorder="1" applyAlignment="1">
      <alignment horizontal="left" vertical="center"/>
    </xf>
    <xf numFmtId="164" fontId="7" fillId="19" borderId="22" xfId="1" applyNumberFormat="1" applyFont="1" applyFill="1" applyBorder="1" applyAlignment="1">
      <alignment horizontal="left" vertical="center"/>
    </xf>
    <xf numFmtId="9" fontId="16" fillId="17" borderId="6" xfId="1" applyNumberFormat="1" applyFont="1" applyFill="1" applyBorder="1" applyAlignment="1">
      <alignment vertical="center"/>
    </xf>
    <xf numFmtId="165" fontId="12" fillId="17" borderId="2" xfId="1" applyNumberFormat="1" applyFont="1" applyFill="1" applyBorder="1" applyAlignment="1">
      <alignment vertical="center" wrapText="1"/>
    </xf>
    <xf numFmtId="165" fontId="12" fillId="17" borderId="2" xfId="1" applyNumberFormat="1" applyFont="1" applyFill="1" applyBorder="1" applyAlignment="1">
      <alignment vertical="center"/>
    </xf>
    <xf numFmtId="0" fontId="12" fillId="17" borderId="5" xfId="0" applyFont="1" applyFill="1" applyBorder="1" applyAlignment="1">
      <alignment vertical="center" wrapText="1"/>
    </xf>
    <xf numFmtId="166" fontId="13" fillId="17" borderId="5" xfId="0" applyNumberFormat="1" applyFont="1" applyFill="1" applyBorder="1" applyAlignment="1">
      <alignment vertical="center" wrapText="1"/>
    </xf>
    <xf numFmtId="165" fontId="12" fillId="17" borderId="5" xfId="1" applyNumberFormat="1" applyFont="1" applyFill="1" applyBorder="1" applyAlignment="1">
      <alignment vertical="center" wrapText="1"/>
    </xf>
    <xf numFmtId="2" fontId="12" fillId="17" borderId="5" xfId="1" applyNumberFormat="1" applyFont="1" applyFill="1" applyBorder="1" applyAlignment="1">
      <alignment vertical="center" wrapText="1"/>
    </xf>
    <xf numFmtId="165" fontId="12" fillId="17" borderId="5" xfId="1" applyNumberFormat="1" applyFont="1" applyFill="1" applyBorder="1" applyAlignment="1">
      <alignment vertical="center"/>
    </xf>
    <xf numFmtId="2" fontId="12" fillId="17" borderId="5" xfId="1" applyNumberFormat="1" applyFont="1" applyFill="1" applyBorder="1" applyAlignment="1">
      <alignment vertical="center"/>
    </xf>
    <xf numFmtId="0" fontId="12" fillId="17" borderId="5" xfId="0" applyFont="1" applyFill="1" applyBorder="1" applyAlignment="1">
      <alignment vertical="center"/>
    </xf>
    <xf numFmtId="0" fontId="14" fillId="17" borderId="18" xfId="0" applyFont="1" applyFill="1" applyBorder="1" applyAlignment="1">
      <alignment vertical="center" wrapText="1"/>
    </xf>
    <xf numFmtId="165" fontId="14" fillId="17" borderId="18" xfId="1" applyNumberFormat="1" applyFont="1" applyFill="1" applyBorder="1" applyAlignment="1">
      <alignment vertical="center" wrapText="1"/>
    </xf>
    <xf numFmtId="165" fontId="14" fillId="17" borderId="18" xfId="1" applyNumberFormat="1" applyFont="1" applyFill="1" applyBorder="1" applyAlignment="1">
      <alignment horizontal="center" vertical="center"/>
    </xf>
    <xf numFmtId="0" fontId="14" fillId="17" borderId="18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vertical="center" wrapText="1"/>
    </xf>
    <xf numFmtId="166" fontId="13" fillId="17" borderId="2" xfId="0" applyNumberFormat="1" applyFont="1" applyFill="1" applyBorder="1" applyAlignment="1">
      <alignment vertical="center" wrapText="1"/>
    </xf>
    <xf numFmtId="2" fontId="12" fillId="17" borderId="2" xfId="1" applyNumberFormat="1" applyFont="1" applyFill="1" applyBorder="1" applyAlignment="1">
      <alignment vertical="center" wrapText="1"/>
    </xf>
    <xf numFmtId="2" fontId="12" fillId="17" borderId="2" xfId="1" applyNumberFormat="1" applyFont="1" applyFill="1" applyBorder="1" applyAlignment="1">
      <alignment vertical="center"/>
    </xf>
    <xf numFmtId="9" fontId="16" fillId="17" borderId="3" xfId="1" applyNumberFormat="1" applyFont="1" applyFill="1" applyBorder="1" applyAlignment="1">
      <alignment vertical="center"/>
    </xf>
    <xf numFmtId="0" fontId="12" fillId="17" borderId="4" xfId="0" applyFont="1" applyFill="1" applyBorder="1" applyAlignment="1">
      <alignment vertical="center" wrapText="1"/>
    </xf>
    <xf numFmtId="9" fontId="12" fillId="17" borderId="6" xfId="1" applyNumberFormat="1" applyFont="1" applyFill="1" applyBorder="1" applyAlignment="1">
      <alignment vertical="center"/>
    </xf>
    <xf numFmtId="0" fontId="8" fillId="2" borderId="2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164" fontId="7" fillId="5" borderId="5" xfId="1" applyNumberFormat="1" applyFont="1" applyFill="1" applyBorder="1" applyAlignment="1">
      <alignment horizontal="left" vertical="center" wrapText="1"/>
    </xf>
    <xf numFmtId="9" fontId="7" fillId="5" borderId="5" xfId="1" applyNumberFormat="1" applyFont="1" applyFill="1" applyBorder="1" applyAlignment="1">
      <alignment horizontal="left" vertical="center" wrapText="1"/>
    </xf>
    <xf numFmtId="164" fontId="7" fillId="4" borderId="5" xfId="1" applyNumberFormat="1" applyFont="1" applyFill="1" applyBorder="1" applyAlignment="1">
      <alignment horizontal="left" vertical="center" wrapText="1"/>
    </xf>
    <xf numFmtId="164" fontId="8" fillId="3" borderId="5" xfId="1" applyNumberFormat="1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left" vertical="center" wrapText="1"/>
    </xf>
    <xf numFmtId="164" fontId="7" fillId="3" borderId="5" xfId="1" applyNumberFormat="1" applyFont="1" applyFill="1" applyBorder="1" applyAlignment="1">
      <alignment horizontal="left" vertical="center" wrapText="1"/>
    </xf>
    <xf numFmtId="164" fontId="7" fillId="5" borderId="20" xfId="1" applyNumberFormat="1" applyFont="1" applyFill="1" applyBorder="1" applyAlignment="1">
      <alignment horizontal="left" vertical="center" wrapText="1"/>
    </xf>
    <xf numFmtId="9" fontId="7" fillId="5" borderId="20" xfId="1" applyNumberFormat="1" applyFont="1" applyFill="1" applyBorder="1" applyAlignment="1">
      <alignment horizontal="left" vertical="center" wrapText="1"/>
    </xf>
    <xf numFmtId="164" fontId="7" fillId="4" borderId="20" xfId="1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9" fontId="7" fillId="5" borderId="38" xfId="1" applyNumberFormat="1" applyFont="1" applyFill="1" applyBorder="1" applyAlignment="1">
      <alignment horizontal="left" vertical="center" wrapText="1"/>
    </xf>
    <xf numFmtId="164" fontId="0" fillId="0" borderId="9" xfId="0" applyNumberFormat="1" applyBorder="1"/>
    <xf numFmtId="164" fontId="0" fillId="5" borderId="37" xfId="0" applyNumberFormat="1" applyFill="1" applyBorder="1"/>
    <xf numFmtId="0" fontId="22" fillId="3" borderId="20" xfId="0" applyFont="1" applyFill="1" applyBorder="1" applyAlignment="1">
      <alignment horizontal="left" vertical="center" wrapText="1"/>
    </xf>
    <xf numFmtId="0" fontId="0" fillId="3" borderId="0" xfId="0" applyFill="1"/>
    <xf numFmtId="0" fontId="0" fillId="0" borderId="5" xfId="0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164" fontId="22" fillId="15" borderId="5" xfId="1" applyNumberFormat="1" applyFont="1" applyFill="1" applyBorder="1" applyAlignment="1">
      <alignment horizontal="left" vertical="center" wrapText="1"/>
    </xf>
    <xf numFmtId="9" fontId="22" fillId="15" borderId="5" xfId="1" applyNumberFormat="1" applyFont="1" applyFill="1" applyBorder="1" applyAlignment="1">
      <alignment horizontal="left" vertical="center"/>
    </xf>
    <xf numFmtId="0" fontId="0" fillId="0" borderId="5" xfId="0" applyBorder="1"/>
    <xf numFmtId="0" fontId="20" fillId="0" borderId="5" xfId="0" applyFont="1" applyBorder="1" applyAlignment="1">
      <alignment horizontal="right"/>
    </xf>
    <xf numFmtId="0" fontId="14" fillId="0" borderId="2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E5028208-1DE7-46CB-8136-B05B6BCAC83A}"/>
    <cellStyle name="Percent" xfId="3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04BA-530E-4F5F-8F72-DB24D44344BF}">
  <dimension ref="A2:B11"/>
  <sheetViews>
    <sheetView workbookViewId="0">
      <selection activeCell="D13" sqref="D12:D13"/>
    </sheetView>
  </sheetViews>
  <sheetFormatPr defaultRowHeight="14.4"/>
  <cols>
    <col min="1" max="1" width="24.88671875" bestFit="1" customWidth="1"/>
    <col min="2" max="2" width="16.77734375" customWidth="1"/>
  </cols>
  <sheetData>
    <row r="2" spans="1:2" ht="21">
      <c r="A2" s="88" t="s">
        <v>294</v>
      </c>
      <c r="B2" s="88" t="s">
        <v>81</v>
      </c>
    </row>
    <row r="3" spans="1:2" ht="21">
      <c r="A3" s="89" t="s">
        <v>286</v>
      </c>
      <c r="B3" s="89">
        <f>'Glassware '!G19</f>
        <v>410324</v>
      </c>
    </row>
    <row r="4" spans="1:2" ht="21">
      <c r="A4" s="89" t="s">
        <v>287</v>
      </c>
      <c r="B4" s="89"/>
    </row>
    <row r="5" spans="1:2" ht="21">
      <c r="A5" s="89" t="s">
        <v>288</v>
      </c>
      <c r="B5" s="89" t="e">
        <f>'Mono Portions Artevo '!#REF!</f>
        <v>#REF!</v>
      </c>
    </row>
    <row r="6" spans="1:2" ht="21">
      <c r="A6" s="89" t="s">
        <v>289</v>
      </c>
      <c r="B6" s="89">
        <f>'Platters &amp; Bowls'!L12</f>
        <v>7200</v>
      </c>
    </row>
    <row r="7" spans="1:2" ht="21">
      <c r="A7" s="89" t="s">
        <v>290</v>
      </c>
      <c r="B7" s="89">
        <f>'Mettal ware for Buffet '!J26</f>
        <v>81000</v>
      </c>
    </row>
    <row r="8" spans="1:2" ht="21">
      <c r="A8" s="89" t="s">
        <v>291</v>
      </c>
      <c r="B8" s="89">
        <f>'mirrorware for buffets '!K21</f>
        <v>37600</v>
      </c>
    </row>
    <row r="9" spans="1:2" ht="21">
      <c r="A9" s="89" t="s">
        <v>292</v>
      </c>
      <c r="B9" s="89">
        <f>'Plates '!J6</f>
        <v>16800</v>
      </c>
    </row>
    <row r="10" spans="1:2" ht="21">
      <c r="A10" s="89" t="s">
        <v>293</v>
      </c>
      <c r="B10" s="89" t="e">
        <f>'Cutlury '!#REF!</f>
        <v>#REF!</v>
      </c>
    </row>
    <row r="11" spans="1:2" ht="21">
      <c r="A11" s="90" t="s">
        <v>295</v>
      </c>
      <c r="B11" s="91" t="e">
        <f>SUM(B3:B10)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ED03-2924-44C9-866F-2F172661F415}">
  <dimension ref="A1:K19"/>
  <sheetViews>
    <sheetView tabSelected="1" workbookViewId="0">
      <selection activeCell="I18" sqref="I18"/>
    </sheetView>
  </sheetViews>
  <sheetFormatPr defaultRowHeight="14.4"/>
  <cols>
    <col min="1" max="1" width="4.6640625" bestFit="1" customWidth="1"/>
    <col min="2" max="2" width="34.33203125" bestFit="1" customWidth="1"/>
    <col min="3" max="3" width="14.33203125" bestFit="1" customWidth="1"/>
    <col min="4" max="4" width="23.88671875" bestFit="1" customWidth="1"/>
    <col min="5" max="5" width="9.21875" bestFit="1" customWidth="1"/>
    <col min="6" max="6" width="20.5546875" bestFit="1" customWidth="1"/>
    <col min="7" max="7" width="21.88671875" bestFit="1" customWidth="1"/>
    <col min="8" max="8" width="12.77734375" bestFit="1" customWidth="1"/>
    <col min="9" max="9" width="19.109375" bestFit="1" customWidth="1"/>
    <col min="10" max="10" width="16" bestFit="1" customWidth="1"/>
    <col min="11" max="11" width="16.109375" bestFit="1" customWidth="1"/>
  </cols>
  <sheetData>
    <row r="1" spans="1:11" ht="15" thickBot="1"/>
    <row r="2" spans="1:11" ht="15.6">
      <c r="A2" s="126" t="s">
        <v>0</v>
      </c>
      <c r="B2" s="127" t="s">
        <v>1</v>
      </c>
      <c r="C2" s="127" t="s">
        <v>2</v>
      </c>
      <c r="D2" s="127" t="s">
        <v>3</v>
      </c>
      <c r="E2" s="127" t="s">
        <v>4</v>
      </c>
      <c r="F2" s="295" t="s">
        <v>297</v>
      </c>
      <c r="G2" s="296" t="s">
        <v>301</v>
      </c>
      <c r="H2" s="297" t="s">
        <v>299</v>
      </c>
      <c r="I2" s="128" t="s">
        <v>5</v>
      </c>
      <c r="J2" s="129" t="s">
        <v>6</v>
      </c>
      <c r="K2" s="129" t="s">
        <v>302</v>
      </c>
    </row>
    <row r="3" spans="1:11" ht="15.6">
      <c r="A3" s="132">
        <v>1</v>
      </c>
      <c r="B3" s="131" t="s">
        <v>7</v>
      </c>
      <c r="C3" s="132" t="s">
        <v>8</v>
      </c>
      <c r="D3" s="133" t="s">
        <v>9</v>
      </c>
      <c r="E3" s="134">
        <v>36</v>
      </c>
      <c r="F3" s="134">
        <v>182</v>
      </c>
      <c r="G3" s="298">
        <f>E3*F3</f>
        <v>6552</v>
      </c>
      <c r="H3" s="299">
        <f>J3/F3</f>
        <v>0.13736263736263737</v>
      </c>
      <c r="I3" s="300">
        <v>250</v>
      </c>
      <c r="J3" s="300">
        <f>I3*10%</f>
        <v>25</v>
      </c>
      <c r="K3" s="300">
        <f>I3*E3</f>
        <v>9000</v>
      </c>
    </row>
    <row r="4" spans="1:11" ht="15.6">
      <c r="A4" s="132">
        <v>2</v>
      </c>
      <c r="B4" s="132" t="s">
        <v>10</v>
      </c>
      <c r="C4" s="132" t="s">
        <v>11</v>
      </c>
      <c r="D4" s="132" t="s">
        <v>12</v>
      </c>
      <c r="E4" s="301">
        <v>24</v>
      </c>
      <c r="F4" s="301">
        <v>536</v>
      </c>
      <c r="G4" s="298">
        <f t="shared" ref="G4:G10" si="0">E4*F4</f>
        <v>12864</v>
      </c>
      <c r="H4" s="299">
        <f t="shared" ref="H4:H10" si="1">J4/F4</f>
        <v>0.13992537313432835</v>
      </c>
      <c r="I4" s="300">
        <v>750</v>
      </c>
      <c r="J4" s="300">
        <f>I4*10%</f>
        <v>75</v>
      </c>
      <c r="K4" s="300">
        <f t="shared" ref="K4:K9" si="2">I4*E4</f>
        <v>18000</v>
      </c>
    </row>
    <row r="5" spans="1:11" ht="15.6">
      <c r="A5" s="132">
        <v>4</v>
      </c>
      <c r="B5" s="131" t="s">
        <v>13</v>
      </c>
      <c r="C5" s="133" t="s">
        <v>14</v>
      </c>
      <c r="D5" s="133" t="s">
        <v>15</v>
      </c>
      <c r="E5" s="134">
        <v>100</v>
      </c>
      <c r="F5" s="134">
        <v>124</v>
      </c>
      <c r="G5" s="298">
        <f t="shared" si="0"/>
        <v>12400</v>
      </c>
      <c r="H5" s="299">
        <f t="shared" si="1"/>
        <v>0.20161290322580644</v>
      </c>
      <c r="I5" s="300">
        <v>200</v>
      </c>
      <c r="J5" s="300">
        <v>25</v>
      </c>
      <c r="K5" s="300">
        <f t="shared" si="2"/>
        <v>20000</v>
      </c>
    </row>
    <row r="6" spans="1:11" ht="15.6">
      <c r="A6" s="132">
        <v>5</v>
      </c>
      <c r="B6" s="132" t="s">
        <v>16</v>
      </c>
      <c r="C6" s="302" t="s">
        <v>17</v>
      </c>
      <c r="D6" s="131" t="s">
        <v>18</v>
      </c>
      <c r="E6" s="303">
        <v>60</v>
      </c>
      <c r="F6" s="303">
        <v>80</v>
      </c>
      <c r="G6" s="298">
        <f t="shared" si="0"/>
        <v>4800</v>
      </c>
      <c r="H6" s="299">
        <f t="shared" si="1"/>
        <v>0.3125</v>
      </c>
      <c r="I6" s="300">
        <v>60</v>
      </c>
      <c r="J6" s="300">
        <v>25</v>
      </c>
      <c r="K6" s="300">
        <f t="shared" si="2"/>
        <v>3600</v>
      </c>
    </row>
    <row r="7" spans="1:11" ht="15.6">
      <c r="A7" s="132">
        <v>6</v>
      </c>
      <c r="B7" s="133" t="s">
        <v>19</v>
      </c>
      <c r="C7" s="133" t="s">
        <v>20</v>
      </c>
      <c r="D7" s="131" t="s">
        <v>21</v>
      </c>
      <c r="E7" s="303">
        <f>40+30+110-50</f>
        <v>130</v>
      </c>
      <c r="F7" s="303">
        <v>148</v>
      </c>
      <c r="G7" s="298">
        <f t="shared" si="0"/>
        <v>19240</v>
      </c>
      <c r="H7" s="299">
        <f t="shared" si="1"/>
        <v>0.16891891891891891</v>
      </c>
      <c r="I7" s="300">
        <v>200</v>
      </c>
      <c r="J7" s="300">
        <v>25</v>
      </c>
      <c r="K7" s="300">
        <f t="shared" si="2"/>
        <v>26000</v>
      </c>
    </row>
    <row r="8" spans="1:11" ht="15.6">
      <c r="A8" s="132">
        <v>8</v>
      </c>
      <c r="B8" s="131" t="s">
        <v>22</v>
      </c>
      <c r="C8" s="133" t="s">
        <v>23</v>
      </c>
      <c r="D8" s="133" t="s">
        <v>24</v>
      </c>
      <c r="E8" s="134">
        <v>176</v>
      </c>
      <c r="F8" s="134">
        <v>67</v>
      </c>
      <c r="G8" s="298">
        <f t="shared" si="0"/>
        <v>11792</v>
      </c>
      <c r="H8" s="299">
        <f t="shared" si="1"/>
        <v>0.29850746268656714</v>
      </c>
      <c r="I8" s="300">
        <v>100</v>
      </c>
      <c r="J8" s="300">
        <v>20</v>
      </c>
      <c r="K8" s="300">
        <f t="shared" si="2"/>
        <v>17600</v>
      </c>
    </row>
    <row r="9" spans="1:11" ht="15.6">
      <c r="A9" s="132">
        <v>9</v>
      </c>
      <c r="B9" s="133" t="s">
        <v>25</v>
      </c>
      <c r="C9" s="133" t="s">
        <v>26</v>
      </c>
      <c r="D9" s="133" t="s">
        <v>27</v>
      </c>
      <c r="E9" s="134">
        <f>266+54+18-180</f>
        <v>158</v>
      </c>
      <c r="F9" s="134">
        <v>59</v>
      </c>
      <c r="G9" s="298">
        <f t="shared" si="0"/>
        <v>9322</v>
      </c>
      <c r="H9" s="299">
        <f t="shared" si="1"/>
        <v>0.33898305084745761</v>
      </c>
      <c r="I9" s="300">
        <v>100</v>
      </c>
      <c r="J9" s="300">
        <v>20</v>
      </c>
      <c r="K9" s="300">
        <f t="shared" si="2"/>
        <v>15800</v>
      </c>
    </row>
    <row r="10" spans="1:11" ht="15.6">
      <c r="A10" s="132">
        <v>10</v>
      </c>
      <c r="B10" s="133" t="s">
        <v>28</v>
      </c>
      <c r="C10" s="133" t="s">
        <v>29</v>
      </c>
      <c r="D10" s="131" t="s">
        <v>30</v>
      </c>
      <c r="E10" s="303">
        <f>50+100+94+27+9+40</f>
        <v>320</v>
      </c>
      <c r="F10" s="303">
        <v>59</v>
      </c>
      <c r="G10" s="298">
        <f t="shared" si="0"/>
        <v>18880</v>
      </c>
      <c r="H10" s="299">
        <f t="shared" si="1"/>
        <v>0.33898305084745761</v>
      </c>
      <c r="I10" s="300">
        <v>100</v>
      </c>
      <c r="J10" s="300">
        <v>20</v>
      </c>
      <c r="K10" s="300">
        <f>I10*E10</f>
        <v>32000</v>
      </c>
    </row>
    <row r="11" spans="1:11" ht="15.6">
      <c r="A11" s="132">
        <v>11</v>
      </c>
      <c r="B11" s="132" t="s">
        <v>308</v>
      </c>
      <c r="C11" s="133" t="s">
        <v>309</v>
      </c>
      <c r="D11" s="133" t="s">
        <v>312</v>
      </c>
      <c r="E11" s="303">
        <v>33</v>
      </c>
      <c r="F11" s="303">
        <v>195</v>
      </c>
      <c r="G11" s="298">
        <f>E11*F11</f>
        <v>6435</v>
      </c>
      <c r="H11" s="299">
        <f>J11/F11</f>
        <v>0.17948717948717949</v>
      </c>
      <c r="I11" s="300">
        <v>250</v>
      </c>
      <c r="J11" s="300">
        <v>35</v>
      </c>
      <c r="K11" s="300">
        <f t="shared" ref="K11:K14" si="3">I11*E11</f>
        <v>8250</v>
      </c>
    </row>
    <row r="12" spans="1:11" ht="15.6">
      <c r="A12" s="132">
        <v>12</v>
      </c>
      <c r="B12" s="132" t="s">
        <v>390</v>
      </c>
      <c r="C12" s="133" t="s">
        <v>405</v>
      </c>
      <c r="D12" s="133"/>
      <c r="E12" s="303">
        <v>20</v>
      </c>
      <c r="F12" s="303">
        <v>132</v>
      </c>
      <c r="G12" s="298">
        <f>E12*F12</f>
        <v>2640</v>
      </c>
      <c r="H12" s="299">
        <f>J12/F12</f>
        <v>0.22727272727272727</v>
      </c>
      <c r="I12" s="300">
        <v>200</v>
      </c>
      <c r="J12" s="300">
        <v>30</v>
      </c>
      <c r="K12" s="300">
        <f t="shared" si="3"/>
        <v>4000</v>
      </c>
    </row>
    <row r="13" spans="1:11" ht="15.6">
      <c r="A13" s="132">
        <v>13</v>
      </c>
      <c r="B13" s="132" t="s">
        <v>310</v>
      </c>
      <c r="C13" s="133" t="s">
        <v>311</v>
      </c>
      <c r="D13" s="133" t="s">
        <v>312</v>
      </c>
      <c r="E13" s="303">
        <v>59</v>
      </c>
      <c r="F13" s="303">
        <v>195</v>
      </c>
      <c r="G13" s="298">
        <f>E13*F13</f>
        <v>11505</v>
      </c>
      <c r="H13" s="299">
        <f>J13/F13</f>
        <v>0.17948717948717949</v>
      </c>
      <c r="I13" s="300">
        <v>250</v>
      </c>
      <c r="J13" s="300">
        <v>35</v>
      </c>
      <c r="K13" s="300">
        <f t="shared" si="3"/>
        <v>14750</v>
      </c>
    </row>
    <row r="14" spans="1:11" ht="16.2" thickBot="1">
      <c r="A14" s="132">
        <v>14</v>
      </c>
      <c r="B14" s="132" t="s">
        <v>410</v>
      </c>
      <c r="C14" s="133" t="s">
        <v>411</v>
      </c>
      <c r="D14" s="133"/>
      <c r="E14" s="303">
        <v>80</v>
      </c>
      <c r="F14" s="303">
        <v>74</v>
      </c>
      <c r="G14" s="304">
        <f>E14*F14</f>
        <v>5920</v>
      </c>
      <c r="H14" s="305">
        <f>J14/F14</f>
        <v>0.27027027027027029</v>
      </c>
      <c r="I14" s="300">
        <v>100</v>
      </c>
      <c r="J14" s="300">
        <v>20</v>
      </c>
      <c r="K14" s="306">
        <f t="shared" si="3"/>
        <v>8000</v>
      </c>
    </row>
    <row r="15" spans="1:11" ht="16.2" thickBot="1">
      <c r="G15" s="310">
        <f>SUM(G3:G14)</f>
        <v>122350</v>
      </c>
      <c r="H15" s="308">
        <f>(H3+H4+H5+H6+H7+H8+H9+H10+H11+H12+H13+H14)/12</f>
        <v>0.23277589612837746</v>
      </c>
      <c r="K15" s="309">
        <f>SUM(K3:K14)</f>
        <v>177000</v>
      </c>
    </row>
    <row r="16" spans="1:11">
      <c r="G16" s="105"/>
      <c r="H16" s="105"/>
    </row>
    <row r="18" spans="1:1">
      <c r="A18" s="104"/>
    </row>
    <row r="19" spans="1:1" ht="15.6">
      <c r="A19" s="1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F6A7-B140-448E-90AB-C4A023897DFC}">
  <dimension ref="A1:K20"/>
  <sheetViews>
    <sheetView workbookViewId="0">
      <selection activeCell="F25" sqref="F25"/>
    </sheetView>
  </sheetViews>
  <sheetFormatPr defaultRowHeight="14.4"/>
  <cols>
    <col min="1" max="1" width="22.109375" bestFit="1" customWidth="1"/>
    <col min="2" max="2" width="6.44140625" bestFit="1" customWidth="1"/>
    <col min="3" max="3" width="9.44140625" bestFit="1" customWidth="1"/>
    <col min="4" max="4" width="64.44140625" bestFit="1" customWidth="1"/>
    <col min="5" max="5" width="9.21875" bestFit="1" customWidth="1"/>
    <col min="6" max="6" width="20.6640625" customWidth="1"/>
    <col min="7" max="7" width="10.5546875" bestFit="1" customWidth="1"/>
    <col min="8" max="8" width="12.77734375" bestFit="1" customWidth="1"/>
    <col min="9" max="9" width="5.88671875" bestFit="1" customWidth="1"/>
    <col min="10" max="10" width="10.6640625" bestFit="1" customWidth="1"/>
    <col min="11" max="11" width="10.5546875" bestFit="1" customWidth="1"/>
  </cols>
  <sheetData>
    <row r="1" spans="1:11" ht="15" thickBot="1"/>
    <row r="2" spans="1:11" ht="15.6">
      <c r="A2" s="92" t="s">
        <v>31</v>
      </c>
      <c r="B2" s="93" t="s">
        <v>32</v>
      </c>
      <c r="C2" s="93" t="s">
        <v>33</v>
      </c>
      <c r="D2" s="93" t="s">
        <v>34</v>
      </c>
      <c r="E2" s="114" t="s">
        <v>4</v>
      </c>
      <c r="F2" s="114" t="s">
        <v>296</v>
      </c>
      <c r="G2" s="117" t="s">
        <v>298</v>
      </c>
      <c r="H2" s="109" t="s">
        <v>299</v>
      </c>
      <c r="I2" s="106" t="s">
        <v>35</v>
      </c>
      <c r="J2" s="94" t="s">
        <v>36</v>
      </c>
      <c r="K2" s="94" t="s">
        <v>81</v>
      </c>
    </row>
    <row r="3" spans="1:11" ht="15.6">
      <c r="A3" s="95" t="s">
        <v>37</v>
      </c>
      <c r="B3" s="96">
        <v>1</v>
      </c>
      <c r="C3" s="97" t="s">
        <v>38</v>
      </c>
      <c r="D3" s="98" t="s">
        <v>39</v>
      </c>
      <c r="E3" s="102">
        <v>164</v>
      </c>
      <c r="F3" s="102">
        <v>287</v>
      </c>
      <c r="G3" s="111">
        <f>E3*F3</f>
        <v>47068</v>
      </c>
      <c r="H3" s="110">
        <f t="shared" ref="H3:H18" si="0">I3/F3</f>
        <v>0.13937282229965156</v>
      </c>
      <c r="I3" s="107">
        <v>40</v>
      </c>
      <c r="J3" s="103">
        <v>380</v>
      </c>
      <c r="K3" s="103">
        <f>E3*J3</f>
        <v>62320</v>
      </c>
    </row>
    <row r="4" spans="1:11" ht="15.6">
      <c r="A4" s="95" t="s">
        <v>40</v>
      </c>
      <c r="B4" s="96">
        <v>2</v>
      </c>
      <c r="C4" s="97" t="s">
        <v>41</v>
      </c>
      <c r="D4" s="98" t="s">
        <v>42</v>
      </c>
      <c r="E4" s="102">
        <v>142</v>
      </c>
      <c r="F4" s="102">
        <v>294</v>
      </c>
      <c r="G4" s="111">
        <f t="shared" ref="G4:G18" si="1">E4*F4</f>
        <v>41748</v>
      </c>
      <c r="H4" s="110">
        <f t="shared" si="0"/>
        <v>0.1360544217687075</v>
      </c>
      <c r="I4" s="107">
        <v>40</v>
      </c>
      <c r="J4" s="103">
        <v>380</v>
      </c>
      <c r="K4" s="103">
        <f t="shared" ref="K4:K18" si="2">E4*J4</f>
        <v>53960</v>
      </c>
    </row>
    <row r="5" spans="1:11" ht="15.6">
      <c r="A5" s="95" t="s">
        <v>43</v>
      </c>
      <c r="B5" s="96">
        <v>3</v>
      </c>
      <c r="C5" s="98" t="s">
        <v>44</v>
      </c>
      <c r="D5" s="98" t="s">
        <v>45</v>
      </c>
      <c r="E5" s="102">
        <v>128</v>
      </c>
      <c r="F5" s="102">
        <v>286</v>
      </c>
      <c r="G5" s="111">
        <f t="shared" si="1"/>
        <v>36608</v>
      </c>
      <c r="H5" s="110">
        <f t="shared" si="0"/>
        <v>0.13986013986013987</v>
      </c>
      <c r="I5" s="107">
        <v>40</v>
      </c>
      <c r="J5" s="103">
        <v>380</v>
      </c>
      <c r="K5" s="103">
        <f t="shared" si="2"/>
        <v>48640</v>
      </c>
    </row>
    <row r="6" spans="1:11" ht="15.6">
      <c r="A6" s="95" t="s">
        <v>300</v>
      </c>
      <c r="B6" s="96">
        <v>4</v>
      </c>
      <c r="C6" s="97" t="s">
        <v>47</v>
      </c>
      <c r="D6" s="98" t="s">
        <v>48</v>
      </c>
      <c r="E6" s="102">
        <v>25</v>
      </c>
      <c r="F6" s="102">
        <v>245</v>
      </c>
      <c r="G6" s="111">
        <f t="shared" si="1"/>
        <v>6125</v>
      </c>
      <c r="H6" s="110">
        <f t="shared" si="0"/>
        <v>8.1632653061224483E-2</v>
      </c>
      <c r="I6" s="107">
        <v>20</v>
      </c>
      <c r="J6" s="103">
        <v>350</v>
      </c>
      <c r="K6" s="103">
        <f t="shared" si="2"/>
        <v>8750</v>
      </c>
    </row>
    <row r="7" spans="1:11" ht="15.6">
      <c r="A7" s="95" t="s">
        <v>46</v>
      </c>
      <c r="B7" s="96">
        <v>5</v>
      </c>
      <c r="C7" s="97" t="s">
        <v>49</v>
      </c>
      <c r="D7" s="98" t="s">
        <v>50</v>
      </c>
      <c r="E7" s="102">
        <v>25</v>
      </c>
      <c r="F7" s="102">
        <v>407</v>
      </c>
      <c r="G7" s="111">
        <f t="shared" si="1"/>
        <v>10175</v>
      </c>
      <c r="H7" s="110">
        <f t="shared" si="0"/>
        <v>9.8280098280098274E-2</v>
      </c>
      <c r="I7" s="107">
        <v>40</v>
      </c>
      <c r="J7" s="103">
        <v>550</v>
      </c>
      <c r="K7" s="103">
        <f t="shared" si="2"/>
        <v>13750</v>
      </c>
    </row>
    <row r="8" spans="1:11" ht="15.6">
      <c r="A8" s="95" t="s">
        <v>51</v>
      </c>
      <c r="B8" s="96">
        <v>6</v>
      </c>
      <c r="C8" s="98" t="s">
        <v>52</v>
      </c>
      <c r="D8" s="98" t="s">
        <v>53</v>
      </c>
      <c r="E8" s="102">
        <v>49</v>
      </c>
      <c r="F8" s="102">
        <v>306</v>
      </c>
      <c r="G8" s="111">
        <f t="shared" si="1"/>
        <v>14994</v>
      </c>
      <c r="H8" s="110">
        <f t="shared" si="0"/>
        <v>6.535947712418301E-2</v>
      </c>
      <c r="I8" s="107">
        <v>20</v>
      </c>
      <c r="J8" s="103">
        <v>400</v>
      </c>
      <c r="K8" s="103">
        <f t="shared" si="2"/>
        <v>19600</v>
      </c>
    </row>
    <row r="9" spans="1:11" ht="15.6">
      <c r="A9" s="95" t="s">
        <v>54</v>
      </c>
      <c r="B9" s="98">
        <v>7</v>
      </c>
      <c r="C9" s="98" t="s">
        <v>55</v>
      </c>
      <c r="D9" s="98" t="s">
        <v>56</v>
      </c>
      <c r="E9" s="102">
        <v>92</v>
      </c>
      <c r="F9" s="102">
        <v>256</v>
      </c>
      <c r="G9" s="111">
        <f t="shared" si="1"/>
        <v>23552</v>
      </c>
      <c r="H9" s="110">
        <f t="shared" si="0"/>
        <v>0.15625</v>
      </c>
      <c r="I9" s="107">
        <v>40</v>
      </c>
      <c r="J9" s="103">
        <v>400</v>
      </c>
      <c r="K9" s="103">
        <f t="shared" si="2"/>
        <v>36800</v>
      </c>
    </row>
    <row r="10" spans="1:11" ht="15.6">
      <c r="A10" s="95" t="s">
        <v>57</v>
      </c>
      <c r="B10" s="96">
        <v>8</v>
      </c>
      <c r="C10" s="97" t="s">
        <v>58</v>
      </c>
      <c r="D10" s="98" t="s">
        <v>59</v>
      </c>
      <c r="E10" s="102">
        <v>13</v>
      </c>
      <c r="F10" s="102">
        <v>282</v>
      </c>
      <c r="G10" s="111">
        <f t="shared" si="1"/>
        <v>3666</v>
      </c>
      <c r="H10" s="110">
        <f t="shared" si="0"/>
        <v>0.14184397163120568</v>
      </c>
      <c r="I10" s="107">
        <v>40</v>
      </c>
      <c r="J10" s="103">
        <v>350</v>
      </c>
      <c r="K10" s="103">
        <f t="shared" si="2"/>
        <v>4550</v>
      </c>
    </row>
    <row r="11" spans="1:11" ht="15.6">
      <c r="A11" s="95" t="s">
        <v>60</v>
      </c>
      <c r="B11" s="96">
        <v>9</v>
      </c>
      <c r="C11" s="97" t="s">
        <v>61</v>
      </c>
      <c r="D11" s="98" t="s">
        <v>62</v>
      </c>
      <c r="E11" s="102">
        <v>48</v>
      </c>
      <c r="F11" s="102">
        <v>282</v>
      </c>
      <c r="G11" s="111">
        <f t="shared" si="1"/>
        <v>13536</v>
      </c>
      <c r="H11" s="110">
        <f t="shared" si="0"/>
        <v>7.0921985815602842E-2</v>
      </c>
      <c r="I11" s="107">
        <v>20</v>
      </c>
      <c r="J11" s="103">
        <v>400</v>
      </c>
      <c r="K11" s="103">
        <f t="shared" si="2"/>
        <v>19200</v>
      </c>
    </row>
    <row r="12" spans="1:11" ht="15.6">
      <c r="A12" s="95" t="s">
        <v>63</v>
      </c>
      <c r="B12" s="96">
        <v>10</v>
      </c>
      <c r="C12" s="97" t="s">
        <v>64</v>
      </c>
      <c r="D12" s="98" t="s">
        <v>65</v>
      </c>
      <c r="E12" s="102">
        <v>254</v>
      </c>
      <c r="F12" s="102">
        <v>164</v>
      </c>
      <c r="G12" s="111">
        <f t="shared" si="1"/>
        <v>41656</v>
      </c>
      <c r="H12" s="110">
        <f t="shared" si="0"/>
        <v>0.12195121951219512</v>
      </c>
      <c r="I12" s="107">
        <v>20</v>
      </c>
      <c r="J12" s="103">
        <v>250</v>
      </c>
      <c r="K12" s="103">
        <f t="shared" si="2"/>
        <v>63500</v>
      </c>
    </row>
    <row r="13" spans="1:11" ht="15.6">
      <c r="A13" s="95" t="s">
        <v>66</v>
      </c>
      <c r="B13" s="96">
        <v>11</v>
      </c>
      <c r="C13" s="97" t="s">
        <v>67</v>
      </c>
      <c r="D13" s="98" t="s">
        <v>68</v>
      </c>
      <c r="E13" s="102">
        <f>169+24</f>
        <v>193</v>
      </c>
      <c r="F13" s="102">
        <v>144</v>
      </c>
      <c r="G13" s="111">
        <f t="shared" si="1"/>
        <v>27792</v>
      </c>
      <c r="H13" s="110">
        <f t="shared" si="0"/>
        <v>0.27777777777777779</v>
      </c>
      <c r="I13" s="107">
        <v>40</v>
      </c>
      <c r="J13" s="103">
        <v>300</v>
      </c>
      <c r="K13" s="103">
        <f t="shared" si="2"/>
        <v>57900</v>
      </c>
    </row>
    <row r="14" spans="1:11" ht="15.6">
      <c r="A14" s="95" t="s">
        <v>66</v>
      </c>
      <c r="B14" s="96">
        <v>12</v>
      </c>
      <c r="C14" s="97" t="s">
        <v>69</v>
      </c>
      <c r="D14" s="98" t="s">
        <v>70</v>
      </c>
      <c r="E14" s="102">
        <v>216</v>
      </c>
      <c r="F14" s="102">
        <v>158</v>
      </c>
      <c r="G14" s="111">
        <f t="shared" si="1"/>
        <v>34128</v>
      </c>
      <c r="H14" s="110">
        <f t="shared" si="0"/>
        <v>0.22151898734177214</v>
      </c>
      <c r="I14" s="107">
        <v>35</v>
      </c>
      <c r="J14" s="103">
        <v>300</v>
      </c>
      <c r="K14" s="103">
        <f t="shared" si="2"/>
        <v>64800</v>
      </c>
    </row>
    <row r="15" spans="1:11" ht="15.6">
      <c r="A15" s="95" t="s">
        <v>71</v>
      </c>
      <c r="B15" s="96">
        <v>13</v>
      </c>
      <c r="C15" s="98" t="s">
        <v>72</v>
      </c>
      <c r="D15" s="98" t="s">
        <v>73</v>
      </c>
      <c r="E15" s="102">
        <f>185+18</f>
        <v>203</v>
      </c>
      <c r="F15" s="102">
        <v>176</v>
      </c>
      <c r="G15" s="111">
        <f t="shared" si="1"/>
        <v>35728</v>
      </c>
      <c r="H15" s="110">
        <f t="shared" si="0"/>
        <v>0.22727272727272727</v>
      </c>
      <c r="I15" s="107">
        <v>40</v>
      </c>
      <c r="J15" s="103">
        <v>300</v>
      </c>
      <c r="K15" s="103">
        <f t="shared" si="2"/>
        <v>60900</v>
      </c>
    </row>
    <row r="16" spans="1:11" ht="15.6">
      <c r="A16" s="95" t="s">
        <v>71</v>
      </c>
      <c r="B16" s="96">
        <v>14</v>
      </c>
      <c r="C16" s="97" t="s">
        <v>74</v>
      </c>
      <c r="D16" s="98" t="s">
        <v>75</v>
      </c>
      <c r="E16" s="102">
        <v>216</v>
      </c>
      <c r="F16" s="102">
        <v>182</v>
      </c>
      <c r="G16" s="111">
        <f t="shared" si="1"/>
        <v>39312</v>
      </c>
      <c r="H16" s="110">
        <f t="shared" si="0"/>
        <v>0.19230769230769232</v>
      </c>
      <c r="I16" s="107">
        <v>35</v>
      </c>
      <c r="J16" s="103">
        <v>300</v>
      </c>
      <c r="K16" s="103">
        <f t="shared" si="2"/>
        <v>64800</v>
      </c>
    </row>
    <row r="17" spans="1:11" ht="15.6">
      <c r="A17" s="95" t="s">
        <v>76</v>
      </c>
      <c r="B17" s="96">
        <v>15</v>
      </c>
      <c r="C17" s="97" t="s">
        <v>77</v>
      </c>
      <c r="D17" s="98" t="s">
        <v>78</v>
      </c>
      <c r="E17" s="102">
        <v>61</v>
      </c>
      <c r="F17" s="102">
        <v>276</v>
      </c>
      <c r="G17" s="111">
        <f t="shared" si="1"/>
        <v>16836</v>
      </c>
      <c r="H17" s="110">
        <f t="shared" si="0"/>
        <v>0.14492753623188406</v>
      </c>
      <c r="I17" s="107">
        <v>40</v>
      </c>
      <c r="J17" s="103">
        <v>370</v>
      </c>
      <c r="K17" s="103">
        <f t="shared" si="2"/>
        <v>22570</v>
      </c>
    </row>
    <row r="18" spans="1:11" ht="16.2" thickBot="1">
      <c r="A18" s="99" t="s">
        <v>76</v>
      </c>
      <c r="B18" s="101">
        <v>16</v>
      </c>
      <c r="C18" s="100" t="s">
        <v>79</v>
      </c>
      <c r="D18" s="100" t="s">
        <v>80</v>
      </c>
      <c r="E18" s="102">
        <v>60</v>
      </c>
      <c r="F18" s="102">
        <v>290</v>
      </c>
      <c r="G18" s="111">
        <f t="shared" si="1"/>
        <v>17400</v>
      </c>
      <c r="H18" s="110">
        <f t="shared" si="0"/>
        <v>0.13793103448275862</v>
      </c>
      <c r="I18" s="108">
        <v>40</v>
      </c>
      <c r="J18" s="113">
        <v>370</v>
      </c>
      <c r="K18" s="113">
        <f t="shared" si="2"/>
        <v>22200</v>
      </c>
    </row>
    <row r="19" spans="1:11" ht="16.2" thickBot="1">
      <c r="G19" s="112">
        <f>SUM(G3:G18)</f>
        <v>410324</v>
      </c>
      <c r="H19" s="116">
        <f>(H3+H4+H5+H6+H7+H8+H9+H10+H11+H12+H13+H14+H15+H16+H17+H18)/16</f>
        <v>0.1470789090479763</v>
      </c>
      <c r="K19" s="112">
        <f>SUM(K3:K18)</f>
        <v>624240</v>
      </c>
    </row>
    <row r="20" spans="1:11" ht="15.6">
      <c r="G20" s="1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1378-347B-4CDF-AD8C-F5531578AB64}">
  <dimension ref="A1:L53"/>
  <sheetViews>
    <sheetView topLeftCell="D28" zoomScaleNormal="100" workbookViewId="0">
      <selection activeCell="D50" sqref="D50"/>
    </sheetView>
  </sheetViews>
  <sheetFormatPr defaultRowHeight="14.4"/>
  <cols>
    <col min="1" max="1" width="8.109375" bestFit="1" customWidth="1"/>
    <col min="2" max="2" width="11.5546875" bestFit="1" customWidth="1"/>
    <col min="3" max="3" width="67.6640625" bestFit="1" customWidth="1"/>
    <col min="4" max="4" width="64" bestFit="1" customWidth="1"/>
    <col min="5" max="5" width="9.88671875" bestFit="1" customWidth="1"/>
    <col min="6" max="6" width="16.77734375" customWidth="1"/>
    <col min="7" max="7" width="30" customWidth="1"/>
    <col min="8" max="8" width="16.21875" customWidth="1"/>
    <col min="9" max="9" width="10.5546875" bestFit="1" customWidth="1"/>
    <col min="10" max="10" width="16.77734375" customWidth="1"/>
    <col min="11" max="11" width="11.77734375" bestFit="1" customWidth="1"/>
  </cols>
  <sheetData>
    <row r="1" spans="1:11" ht="15.6">
      <c r="A1" s="126" t="s">
        <v>82</v>
      </c>
      <c r="B1" s="127" t="s">
        <v>83</v>
      </c>
      <c r="C1" s="127" t="s">
        <v>84</v>
      </c>
      <c r="D1" s="127" t="s">
        <v>85</v>
      </c>
      <c r="E1" s="127" t="s">
        <v>4</v>
      </c>
      <c r="F1" s="118" t="s">
        <v>296</v>
      </c>
      <c r="G1" s="120" t="s">
        <v>301</v>
      </c>
      <c r="H1" s="109" t="s">
        <v>299</v>
      </c>
      <c r="I1" s="128" t="s">
        <v>35</v>
      </c>
      <c r="J1" s="129" t="s">
        <v>86</v>
      </c>
      <c r="K1" s="129" t="s">
        <v>81</v>
      </c>
    </row>
    <row r="2" spans="1:11" ht="15.6">
      <c r="A2" s="130">
        <v>1</v>
      </c>
      <c r="B2" s="131" t="s">
        <v>87</v>
      </c>
      <c r="C2" s="132" t="s">
        <v>88</v>
      </c>
      <c r="D2" s="133" t="s">
        <v>89</v>
      </c>
      <c r="E2" s="134">
        <v>8</v>
      </c>
      <c r="F2" s="135">
        <v>968</v>
      </c>
      <c r="G2" s="136">
        <f>E2*F2</f>
        <v>7744</v>
      </c>
      <c r="H2" s="137">
        <f>I2/F2</f>
        <v>0.20661157024793389</v>
      </c>
      <c r="I2" s="138">
        <v>200</v>
      </c>
      <c r="J2" s="139">
        <v>1200</v>
      </c>
      <c r="K2" s="139">
        <f>E2*J2</f>
        <v>9600</v>
      </c>
    </row>
    <row r="3" spans="1:11" ht="15.6">
      <c r="A3" s="130">
        <v>2</v>
      </c>
      <c r="B3" s="131" t="s">
        <v>90</v>
      </c>
      <c r="C3" s="132" t="s">
        <v>91</v>
      </c>
      <c r="D3" s="133" t="s">
        <v>92</v>
      </c>
      <c r="E3" s="134">
        <v>8</v>
      </c>
      <c r="F3" s="135">
        <v>1800</v>
      </c>
      <c r="G3" s="136">
        <f t="shared" ref="G3:G48" si="0">E3*F3</f>
        <v>14400</v>
      </c>
      <c r="H3" s="137">
        <f t="shared" ref="H3:H48" si="1">I3/F3</f>
        <v>0.19444444444444445</v>
      </c>
      <c r="I3" s="138">
        <v>350</v>
      </c>
      <c r="J3" s="139">
        <v>2200</v>
      </c>
      <c r="K3" s="139">
        <f t="shared" ref="K3:K48" si="2">E3*J3</f>
        <v>17600</v>
      </c>
    </row>
    <row r="4" spans="1:11" ht="15.6">
      <c r="A4" s="130">
        <v>3</v>
      </c>
      <c r="B4" s="131" t="s">
        <v>93</v>
      </c>
      <c r="C4" s="133" t="s">
        <v>94</v>
      </c>
      <c r="D4" s="133" t="s">
        <v>95</v>
      </c>
      <c r="E4" s="134">
        <v>12</v>
      </c>
      <c r="F4" s="135">
        <v>2060</v>
      </c>
      <c r="G4" s="136">
        <f t="shared" si="0"/>
        <v>24720</v>
      </c>
      <c r="H4" s="137">
        <f t="shared" si="1"/>
        <v>0.16990291262135923</v>
      </c>
      <c r="I4" s="138">
        <v>350</v>
      </c>
      <c r="J4" s="139">
        <v>2500</v>
      </c>
      <c r="K4" s="139">
        <f t="shared" si="2"/>
        <v>30000</v>
      </c>
    </row>
    <row r="5" spans="1:11" ht="15.6">
      <c r="A5" s="130"/>
      <c r="B5" s="131"/>
      <c r="C5" s="133"/>
      <c r="D5" s="271" t="s">
        <v>391</v>
      </c>
      <c r="E5" s="272">
        <v>12</v>
      </c>
      <c r="F5" s="273"/>
      <c r="G5" s="136"/>
      <c r="H5" s="137"/>
      <c r="I5" s="138"/>
      <c r="J5" s="139"/>
      <c r="K5" s="139"/>
    </row>
    <row r="6" spans="1:11" ht="15.6">
      <c r="A6" s="130">
        <v>4</v>
      </c>
      <c r="B6" s="131" t="s">
        <v>96</v>
      </c>
      <c r="C6" s="132" t="s">
        <v>97</v>
      </c>
      <c r="D6" s="133" t="s">
        <v>98</v>
      </c>
      <c r="E6" s="134">
        <v>12</v>
      </c>
      <c r="F6" s="135">
        <v>750</v>
      </c>
      <c r="G6" s="136">
        <f t="shared" si="0"/>
        <v>9000</v>
      </c>
      <c r="H6" s="137">
        <f t="shared" si="1"/>
        <v>0.26666666666666666</v>
      </c>
      <c r="I6" s="138">
        <v>200</v>
      </c>
      <c r="J6" s="139">
        <v>1000</v>
      </c>
      <c r="K6" s="139">
        <f t="shared" si="2"/>
        <v>12000</v>
      </c>
    </row>
    <row r="7" spans="1:11" ht="15.6">
      <c r="A7" s="130"/>
      <c r="B7" s="131"/>
      <c r="C7" s="132"/>
      <c r="D7" s="271" t="s">
        <v>392</v>
      </c>
      <c r="E7" s="272">
        <v>12</v>
      </c>
      <c r="F7" s="273"/>
      <c r="G7" s="136"/>
      <c r="H7" s="137"/>
      <c r="I7" s="138"/>
      <c r="J7" s="139"/>
      <c r="K7" s="139"/>
    </row>
    <row r="8" spans="1:11" ht="15.6">
      <c r="A8" s="130">
        <v>5</v>
      </c>
      <c r="B8" s="131" t="s">
        <v>99</v>
      </c>
      <c r="C8" s="132" t="s">
        <v>100</v>
      </c>
      <c r="D8" s="133" t="s">
        <v>101</v>
      </c>
      <c r="E8" s="134">
        <v>8</v>
      </c>
      <c r="F8" s="135">
        <v>2113</v>
      </c>
      <c r="G8" s="136">
        <f t="shared" si="0"/>
        <v>16904</v>
      </c>
      <c r="H8" s="137">
        <f t="shared" si="1"/>
        <v>0.1656412683388547</v>
      </c>
      <c r="I8" s="138">
        <v>350</v>
      </c>
      <c r="J8" s="139">
        <v>2500</v>
      </c>
      <c r="K8" s="139">
        <f t="shared" si="2"/>
        <v>20000</v>
      </c>
    </row>
    <row r="9" spans="1:11" ht="15.6">
      <c r="A9" s="130">
        <v>6</v>
      </c>
      <c r="B9" s="131" t="s">
        <v>102</v>
      </c>
      <c r="C9" s="133" t="s">
        <v>103</v>
      </c>
      <c r="D9" s="133" t="s">
        <v>104</v>
      </c>
      <c r="E9" s="134">
        <v>6</v>
      </c>
      <c r="F9" s="135">
        <v>1098</v>
      </c>
      <c r="G9" s="136">
        <f t="shared" si="0"/>
        <v>6588</v>
      </c>
      <c r="H9" s="137">
        <f t="shared" si="1"/>
        <v>0.27322404371584702</v>
      </c>
      <c r="I9" s="138">
        <v>300</v>
      </c>
      <c r="J9" s="139">
        <v>1500</v>
      </c>
      <c r="K9" s="139">
        <f t="shared" si="2"/>
        <v>9000</v>
      </c>
    </row>
    <row r="10" spans="1:11" ht="15.6">
      <c r="A10" s="130">
        <v>7</v>
      </c>
      <c r="B10" s="133" t="s">
        <v>105</v>
      </c>
      <c r="C10" s="133" t="s">
        <v>106</v>
      </c>
      <c r="D10" s="133" t="s">
        <v>107</v>
      </c>
      <c r="E10" s="134">
        <v>32</v>
      </c>
      <c r="F10" s="135">
        <v>744</v>
      </c>
      <c r="G10" s="136">
        <f t="shared" si="0"/>
        <v>23808</v>
      </c>
      <c r="H10" s="137">
        <f t="shared" si="1"/>
        <v>0.26881720430107525</v>
      </c>
      <c r="I10" s="138">
        <v>200</v>
      </c>
      <c r="J10" s="139">
        <v>1000</v>
      </c>
      <c r="K10" s="139">
        <f t="shared" si="2"/>
        <v>32000</v>
      </c>
    </row>
    <row r="11" spans="1:11" ht="15.6">
      <c r="A11" s="130">
        <v>8</v>
      </c>
      <c r="B11" s="131" t="s">
        <v>108</v>
      </c>
      <c r="C11" s="132" t="s">
        <v>109</v>
      </c>
      <c r="D11" s="133" t="s">
        <v>110</v>
      </c>
      <c r="E11" s="134">
        <v>8</v>
      </c>
      <c r="F11" s="135">
        <v>968</v>
      </c>
      <c r="G11" s="136">
        <f t="shared" si="0"/>
        <v>7744</v>
      </c>
      <c r="H11" s="137">
        <f t="shared" si="1"/>
        <v>0.20661157024793389</v>
      </c>
      <c r="I11" s="138">
        <v>200</v>
      </c>
      <c r="J11" s="139">
        <v>1200</v>
      </c>
      <c r="K11" s="139">
        <f t="shared" si="2"/>
        <v>9600</v>
      </c>
    </row>
    <row r="12" spans="1:11" ht="15.6">
      <c r="A12" s="130">
        <v>9</v>
      </c>
      <c r="B12" s="131" t="s">
        <v>111</v>
      </c>
      <c r="C12" s="133" t="s">
        <v>112</v>
      </c>
      <c r="D12" s="133" t="s">
        <v>113</v>
      </c>
      <c r="E12" s="134">
        <v>6</v>
      </c>
      <c r="F12" s="135">
        <v>1989</v>
      </c>
      <c r="G12" s="136">
        <f t="shared" si="0"/>
        <v>11934</v>
      </c>
      <c r="H12" s="137">
        <f t="shared" si="1"/>
        <v>0.17596782302664657</v>
      </c>
      <c r="I12" s="138">
        <v>350</v>
      </c>
      <c r="J12" s="139">
        <v>2500</v>
      </c>
      <c r="K12" s="139">
        <f t="shared" si="2"/>
        <v>15000</v>
      </c>
    </row>
    <row r="13" spans="1:11" ht="15.6">
      <c r="A13" s="130">
        <v>10</v>
      </c>
      <c r="B13" s="131" t="s">
        <v>114</v>
      </c>
      <c r="C13" s="132" t="s">
        <v>115</v>
      </c>
      <c r="D13" s="133" t="s">
        <v>116</v>
      </c>
      <c r="E13" s="134">
        <v>240</v>
      </c>
      <c r="F13" s="135">
        <v>136</v>
      </c>
      <c r="G13" s="136">
        <f t="shared" si="0"/>
        <v>32640</v>
      </c>
      <c r="H13" s="137">
        <f t="shared" si="1"/>
        <v>0.25735294117647056</v>
      </c>
      <c r="I13" s="138">
        <v>35</v>
      </c>
      <c r="J13" s="139">
        <v>250</v>
      </c>
      <c r="K13" s="139">
        <f t="shared" si="2"/>
        <v>60000</v>
      </c>
    </row>
    <row r="14" spans="1:11" ht="15.6">
      <c r="A14" s="130">
        <v>11</v>
      </c>
      <c r="B14" s="131" t="s">
        <v>117</v>
      </c>
      <c r="C14" s="132" t="s">
        <v>115</v>
      </c>
      <c r="D14" s="133" t="s">
        <v>118</v>
      </c>
      <c r="E14" s="134">
        <v>240</v>
      </c>
      <c r="F14" s="135">
        <v>142</v>
      </c>
      <c r="G14" s="136">
        <f t="shared" si="0"/>
        <v>34080</v>
      </c>
      <c r="H14" s="137">
        <f t="shared" si="1"/>
        <v>0.24647887323943662</v>
      </c>
      <c r="I14" s="138">
        <v>35</v>
      </c>
      <c r="J14" s="139">
        <v>250</v>
      </c>
      <c r="K14" s="139">
        <f t="shared" si="2"/>
        <v>60000</v>
      </c>
    </row>
    <row r="15" spans="1:11" ht="15.6">
      <c r="A15" s="130">
        <v>12</v>
      </c>
      <c r="B15" s="131" t="s">
        <v>119</v>
      </c>
      <c r="C15" s="132" t="s">
        <v>120</v>
      </c>
      <c r="D15" s="133" t="s">
        <v>121</v>
      </c>
      <c r="E15" s="134">
        <v>240</v>
      </c>
      <c r="F15" s="135">
        <v>148</v>
      </c>
      <c r="G15" s="136">
        <f t="shared" si="0"/>
        <v>35520</v>
      </c>
      <c r="H15" s="137">
        <f t="shared" si="1"/>
        <v>0.23648648648648649</v>
      </c>
      <c r="I15" s="138">
        <v>35</v>
      </c>
      <c r="J15" s="139">
        <v>250</v>
      </c>
      <c r="K15" s="139">
        <f t="shared" si="2"/>
        <v>60000</v>
      </c>
    </row>
    <row r="16" spans="1:11" ht="15.6">
      <c r="A16" s="130">
        <v>13</v>
      </c>
      <c r="B16" s="131" t="s">
        <v>122</v>
      </c>
      <c r="C16" s="133" t="s">
        <v>123</v>
      </c>
      <c r="D16" s="133" t="s">
        <v>124</v>
      </c>
      <c r="E16" s="134">
        <v>240</v>
      </c>
      <c r="F16" s="135">
        <v>142</v>
      </c>
      <c r="G16" s="136">
        <f t="shared" si="0"/>
        <v>34080</v>
      </c>
      <c r="H16" s="137">
        <f t="shared" si="1"/>
        <v>0.24647887323943662</v>
      </c>
      <c r="I16" s="138">
        <v>35</v>
      </c>
      <c r="J16" s="139">
        <v>250</v>
      </c>
      <c r="K16" s="139">
        <f t="shared" si="2"/>
        <v>60000</v>
      </c>
    </row>
    <row r="17" spans="1:11" ht="15.6">
      <c r="A17" s="130">
        <v>14</v>
      </c>
      <c r="B17" s="131" t="s">
        <v>125</v>
      </c>
      <c r="C17" s="132" t="s">
        <v>115</v>
      </c>
      <c r="D17" s="133" t="s">
        <v>126</v>
      </c>
      <c r="E17" s="134">
        <v>59</v>
      </c>
      <c r="F17" s="135">
        <v>200</v>
      </c>
      <c r="G17" s="136">
        <f t="shared" si="0"/>
        <v>11800</v>
      </c>
      <c r="H17" s="137">
        <f t="shared" si="1"/>
        <v>0.2</v>
      </c>
      <c r="I17" s="138">
        <v>40</v>
      </c>
      <c r="J17" s="139">
        <v>275</v>
      </c>
      <c r="K17" s="139">
        <f t="shared" si="2"/>
        <v>16225</v>
      </c>
    </row>
    <row r="18" spans="1:11" ht="15.6">
      <c r="A18" s="130">
        <v>15</v>
      </c>
      <c r="B18" s="131" t="s">
        <v>127</v>
      </c>
      <c r="C18" s="132" t="s">
        <v>128</v>
      </c>
      <c r="D18" s="133" t="s">
        <v>129</v>
      </c>
      <c r="E18" s="134">
        <v>18</v>
      </c>
      <c r="F18" s="135">
        <v>1100</v>
      </c>
      <c r="G18" s="136">
        <f t="shared" si="0"/>
        <v>19800</v>
      </c>
      <c r="H18" s="137">
        <f t="shared" si="1"/>
        <v>0.22727272727272727</v>
      </c>
      <c r="I18" s="138">
        <v>250</v>
      </c>
      <c r="J18" s="139">
        <v>1500</v>
      </c>
      <c r="K18" s="139">
        <f t="shared" si="2"/>
        <v>27000</v>
      </c>
    </row>
    <row r="19" spans="1:11" ht="15.6">
      <c r="A19" s="130">
        <v>16</v>
      </c>
      <c r="B19" s="131" t="s">
        <v>130</v>
      </c>
      <c r="C19" s="133" t="s">
        <v>131</v>
      </c>
      <c r="D19" s="133" t="s">
        <v>324</v>
      </c>
      <c r="E19" s="134">
        <v>4</v>
      </c>
      <c r="F19" s="135">
        <v>4336</v>
      </c>
      <c r="G19" s="136">
        <f t="shared" si="0"/>
        <v>17344</v>
      </c>
      <c r="H19" s="137">
        <f t="shared" si="1"/>
        <v>0.13837638376383765</v>
      </c>
      <c r="I19" s="138">
        <v>600</v>
      </c>
      <c r="J19" s="139">
        <v>5500</v>
      </c>
      <c r="K19" s="139">
        <f t="shared" si="2"/>
        <v>22000</v>
      </c>
    </row>
    <row r="20" spans="1:11" ht="15.6">
      <c r="A20" s="130">
        <v>17</v>
      </c>
      <c r="B20" s="131" t="s">
        <v>132</v>
      </c>
      <c r="C20" s="133" t="s">
        <v>133</v>
      </c>
      <c r="D20" s="133" t="s">
        <v>134</v>
      </c>
      <c r="E20" s="134">
        <v>6</v>
      </c>
      <c r="F20" s="135">
        <v>5310</v>
      </c>
      <c r="G20" s="136">
        <f t="shared" si="0"/>
        <v>31860</v>
      </c>
      <c r="H20" s="137">
        <f t="shared" si="1"/>
        <v>0.14124293785310735</v>
      </c>
      <c r="I20" s="138">
        <v>750</v>
      </c>
      <c r="J20" s="139">
        <v>6500</v>
      </c>
      <c r="K20" s="139">
        <f t="shared" si="2"/>
        <v>39000</v>
      </c>
    </row>
    <row r="21" spans="1:11" ht="15.6">
      <c r="A21" s="130">
        <v>18</v>
      </c>
      <c r="B21" s="131" t="s">
        <v>135</v>
      </c>
      <c r="C21" s="132" t="s">
        <v>136</v>
      </c>
      <c r="D21" s="133" t="s">
        <v>137</v>
      </c>
      <c r="E21" s="134">
        <v>4</v>
      </c>
      <c r="F21" s="135">
        <v>2773</v>
      </c>
      <c r="G21" s="136">
        <f t="shared" si="0"/>
        <v>11092</v>
      </c>
      <c r="H21" s="137">
        <f t="shared" si="1"/>
        <v>0.18031013342949873</v>
      </c>
      <c r="I21" s="138">
        <v>500</v>
      </c>
      <c r="J21" s="139">
        <v>3500</v>
      </c>
      <c r="K21" s="139">
        <f t="shared" si="2"/>
        <v>14000</v>
      </c>
    </row>
    <row r="22" spans="1:11" ht="15.6">
      <c r="A22" s="130">
        <v>19</v>
      </c>
      <c r="B22" s="131" t="s">
        <v>138</v>
      </c>
      <c r="C22" s="132" t="s">
        <v>139</v>
      </c>
      <c r="D22" s="133" t="s">
        <v>140</v>
      </c>
      <c r="E22" s="134">
        <v>4</v>
      </c>
      <c r="F22" s="135">
        <v>12980</v>
      </c>
      <c r="G22" s="136">
        <f t="shared" si="0"/>
        <v>51920</v>
      </c>
      <c r="H22" s="137">
        <f t="shared" si="1"/>
        <v>0.15408320493066255</v>
      </c>
      <c r="I22" s="138">
        <v>2000</v>
      </c>
      <c r="J22" s="139">
        <v>15600</v>
      </c>
      <c r="K22" s="139">
        <f t="shared" si="2"/>
        <v>62400</v>
      </c>
    </row>
    <row r="23" spans="1:11" ht="15.6">
      <c r="A23" s="130">
        <v>20</v>
      </c>
      <c r="B23" s="131" t="s">
        <v>141</v>
      </c>
      <c r="C23" s="133" t="s">
        <v>142</v>
      </c>
      <c r="D23" s="133" t="s">
        <v>143</v>
      </c>
      <c r="E23" s="134">
        <v>4</v>
      </c>
      <c r="F23" s="135">
        <v>9735</v>
      </c>
      <c r="G23" s="136">
        <f t="shared" si="0"/>
        <v>38940</v>
      </c>
      <c r="H23" s="137">
        <f t="shared" si="1"/>
        <v>0.20544427324088341</v>
      </c>
      <c r="I23" s="138">
        <v>2000</v>
      </c>
      <c r="J23" s="139">
        <v>11700</v>
      </c>
      <c r="K23" s="139">
        <f t="shared" si="2"/>
        <v>46800</v>
      </c>
    </row>
    <row r="24" spans="1:11" ht="15.6">
      <c r="A24" s="130">
        <v>21</v>
      </c>
      <c r="B24" s="131" t="s">
        <v>144</v>
      </c>
      <c r="C24" s="132" t="s">
        <v>145</v>
      </c>
      <c r="D24" s="133" t="s">
        <v>146</v>
      </c>
      <c r="E24" s="134">
        <v>4</v>
      </c>
      <c r="F24" s="135">
        <v>5310</v>
      </c>
      <c r="G24" s="136">
        <f t="shared" si="0"/>
        <v>21240</v>
      </c>
      <c r="H24" s="137">
        <f t="shared" si="1"/>
        <v>0.1224105461393597</v>
      </c>
      <c r="I24" s="138">
        <v>650</v>
      </c>
      <c r="J24" s="139">
        <v>6500</v>
      </c>
      <c r="K24" s="139">
        <f t="shared" si="2"/>
        <v>26000</v>
      </c>
    </row>
    <row r="25" spans="1:11" ht="15.6">
      <c r="A25" s="140">
        <v>22</v>
      </c>
      <c r="B25" s="141"/>
      <c r="C25" s="142"/>
      <c r="D25" s="133" t="s">
        <v>331</v>
      </c>
      <c r="E25" s="134">
        <v>4</v>
      </c>
      <c r="F25" s="135">
        <v>400</v>
      </c>
      <c r="G25" s="136">
        <f t="shared" si="0"/>
        <v>1600</v>
      </c>
      <c r="H25" s="146">
        <f t="shared" si="1"/>
        <v>0.25</v>
      </c>
      <c r="I25" s="147">
        <v>100</v>
      </c>
      <c r="J25" s="148">
        <v>600</v>
      </c>
      <c r="K25" s="148">
        <f t="shared" si="2"/>
        <v>2400</v>
      </c>
    </row>
    <row r="26" spans="1:11" ht="15.6">
      <c r="A26" s="140">
        <v>23</v>
      </c>
      <c r="B26" s="141"/>
      <c r="C26" s="142"/>
      <c r="D26" s="133" t="s">
        <v>332</v>
      </c>
      <c r="E26" s="134">
        <v>4</v>
      </c>
      <c r="F26" s="135">
        <v>4500</v>
      </c>
      <c r="G26" s="136">
        <f t="shared" si="0"/>
        <v>18000</v>
      </c>
      <c r="H26" s="146">
        <f t="shared" si="1"/>
        <v>0.16666666666666666</v>
      </c>
      <c r="I26" s="147">
        <v>750</v>
      </c>
      <c r="J26" s="148">
        <v>7500</v>
      </c>
      <c r="K26" s="148">
        <f t="shared" si="2"/>
        <v>30000</v>
      </c>
    </row>
    <row r="27" spans="1:11" ht="15.6">
      <c r="A27" s="140">
        <v>24</v>
      </c>
      <c r="B27" s="141"/>
      <c r="C27" s="142"/>
      <c r="D27" s="133" t="s">
        <v>333</v>
      </c>
      <c r="E27" s="134">
        <v>8</v>
      </c>
      <c r="F27" s="135">
        <v>793</v>
      </c>
      <c r="G27" s="136">
        <f t="shared" si="0"/>
        <v>6344</v>
      </c>
      <c r="H27" s="146">
        <f t="shared" si="1"/>
        <v>0.37831021437578816</v>
      </c>
      <c r="I27" s="147">
        <v>300</v>
      </c>
      <c r="J27" s="148">
        <v>2000</v>
      </c>
      <c r="K27" s="148">
        <f t="shared" si="2"/>
        <v>16000</v>
      </c>
    </row>
    <row r="28" spans="1:11" ht="15.6">
      <c r="A28" s="140">
        <v>25</v>
      </c>
      <c r="B28" s="141"/>
      <c r="C28" s="142"/>
      <c r="D28" s="133" t="s">
        <v>334</v>
      </c>
      <c r="E28" s="134">
        <v>8</v>
      </c>
      <c r="F28" s="135">
        <v>515</v>
      </c>
      <c r="G28" s="136">
        <f t="shared" si="0"/>
        <v>4120</v>
      </c>
      <c r="H28" s="146">
        <f t="shared" si="1"/>
        <v>0.38834951456310679</v>
      </c>
      <c r="I28" s="147">
        <v>200</v>
      </c>
      <c r="J28" s="148">
        <v>1800</v>
      </c>
      <c r="K28" s="148">
        <f t="shared" si="2"/>
        <v>14400</v>
      </c>
    </row>
    <row r="29" spans="1:11" ht="15.6">
      <c r="A29" s="140">
        <v>26</v>
      </c>
      <c r="B29" s="141"/>
      <c r="C29" s="142"/>
      <c r="D29" s="133" t="s">
        <v>335</v>
      </c>
      <c r="E29" s="134">
        <v>32</v>
      </c>
      <c r="F29" s="135">
        <v>300</v>
      </c>
      <c r="G29" s="136">
        <f t="shared" si="0"/>
        <v>9600</v>
      </c>
      <c r="H29" s="146">
        <f t="shared" si="1"/>
        <v>0.33333333333333331</v>
      </c>
      <c r="I29" s="147">
        <v>100</v>
      </c>
      <c r="J29" s="148">
        <v>600</v>
      </c>
      <c r="K29" s="148">
        <f t="shared" si="2"/>
        <v>19200</v>
      </c>
    </row>
    <row r="30" spans="1:11" ht="15.6">
      <c r="A30" s="140">
        <v>27</v>
      </c>
      <c r="B30" s="141"/>
      <c r="C30" s="142"/>
      <c r="D30" s="133" t="s">
        <v>330</v>
      </c>
      <c r="E30" s="134">
        <v>6</v>
      </c>
      <c r="F30" s="135">
        <v>12500</v>
      </c>
      <c r="G30" s="136">
        <f t="shared" si="0"/>
        <v>75000</v>
      </c>
      <c r="H30" s="146">
        <f t="shared" si="1"/>
        <v>0.16</v>
      </c>
      <c r="I30" s="147">
        <v>2000</v>
      </c>
      <c r="J30" s="148">
        <v>15000</v>
      </c>
      <c r="K30" s="148">
        <f t="shared" si="2"/>
        <v>90000</v>
      </c>
    </row>
    <row r="31" spans="1:11" ht="15.6">
      <c r="A31" s="140">
        <v>28</v>
      </c>
      <c r="B31" s="131" t="s">
        <v>147</v>
      </c>
      <c r="C31" s="132" t="s">
        <v>148</v>
      </c>
      <c r="D31" s="133" t="s">
        <v>325</v>
      </c>
      <c r="E31" s="143">
        <v>4</v>
      </c>
      <c r="F31" s="144">
        <v>12980</v>
      </c>
      <c r="G31" s="145">
        <f t="shared" si="0"/>
        <v>51920</v>
      </c>
      <c r="H31" s="146">
        <f t="shared" si="1"/>
        <v>0.11556240369799692</v>
      </c>
      <c r="I31" s="147">
        <v>1500</v>
      </c>
      <c r="J31" s="148">
        <v>15600</v>
      </c>
      <c r="K31" s="148">
        <f t="shared" si="2"/>
        <v>62400</v>
      </c>
    </row>
    <row r="32" spans="1:11" ht="15.6">
      <c r="A32" s="132">
        <v>29</v>
      </c>
      <c r="B32" s="131" t="s">
        <v>362</v>
      </c>
      <c r="C32" s="132"/>
      <c r="D32" s="133" t="s">
        <v>369</v>
      </c>
      <c r="E32" s="143">
        <v>3</v>
      </c>
      <c r="F32" s="134">
        <v>472</v>
      </c>
      <c r="G32" s="145">
        <f t="shared" si="0"/>
        <v>1416</v>
      </c>
      <c r="H32" s="146">
        <f t="shared" si="1"/>
        <v>0.74152542372881358</v>
      </c>
      <c r="I32" s="147">
        <v>350</v>
      </c>
      <c r="J32" s="148">
        <v>3000</v>
      </c>
      <c r="K32" s="148">
        <f t="shared" si="2"/>
        <v>9000</v>
      </c>
    </row>
    <row r="33" spans="1:12" ht="15.6">
      <c r="A33" s="132">
        <v>30</v>
      </c>
      <c r="B33" s="131" t="s">
        <v>363</v>
      </c>
      <c r="C33" s="132"/>
      <c r="D33" s="133" t="s">
        <v>370</v>
      </c>
      <c r="E33" s="143">
        <v>3</v>
      </c>
      <c r="F33" s="134">
        <v>472</v>
      </c>
      <c r="G33" s="145">
        <f t="shared" si="0"/>
        <v>1416</v>
      </c>
      <c r="H33" s="146">
        <f t="shared" si="1"/>
        <v>0.74152542372881358</v>
      </c>
      <c r="I33" s="147">
        <v>350</v>
      </c>
      <c r="J33" s="148">
        <v>3000</v>
      </c>
      <c r="K33" s="148">
        <f t="shared" si="2"/>
        <v>9000</v>
      </c>
    </row>
    <row r="34" spans="1:12" ht="15.6">
      <c r="A34" s="132">
        <v>31</v>
      </c>
      <c r="B34" s="131" t="s">
        <v>364</v>
      </c>
      <c r="C34" s="132"/>
      <c r="D34" s="133" t="s">
        <v>371</v>
      </c>
      <c r="E34" s="143">
        <v>3</v>
      </c>
      <c r="F34" s="134">
        <v>472</v>
      </c>
      <c r="G34" s="145">
        <f t="shared" si="0"/>
        <v>1416</v>
      </c>
      <c r="H34" s="146">
        <f t="shared" si="1"/>
        <v>0.52966101694915257</v>
      </c>
      <c r="I34" s="147">
        <v>250</v>
      </c>
      <c r="J34" s="148">
        <v>2500</v>
      </c>
      <c r="K34" s="148">
        <f t="shared" si="2"/>
        <v>7500</v>
      </c>
    </row>
    <row r="35" spans="1:12" ht="15.6">
      <c r="A35" s="132">
        <v>32</v>
      </c>
      <c r="B35" s="131" t="s">
        <v>365</v>
      </c>
      <c r="C35" s="132"/>
      <c r="D35" s="133" t="s">
        <v>372</v>
      </c>
      <c r="E35" s="143">
        <v>3</v>
      </c>
      <c r="F35" s="134">
        <v>400</v>
      </c>
      <c r="G35" s="145">
        <f t="shared" si="0"/>
        <v>1200</v>
      </c>
      <c r="H35" s="146">
        <f t="shared" si="1"/>
        <v>0.5</v>
      </c>
      <c r="I35" s="147">
        <v>200</v>
      </c>
      <c r="J35" s="148">
        <v>2000</v>
      </c>
      <c r="K35" s="148">
        <f t="shared" si="2"/>
        <v>6000</v>
      </c>
    </row>
    <row r="36" spans="1:12" ht="15.6">
      <c r="A36" s="132">
        <v>33</v>
      </c>
      <c r="B36" s="131" t="s">
        <v>366</v>
      </c>
      <c r="C36" s="132"/>
      <c r="D36" s="133" t="s">
        <v>373</v>
      </c>
      <c r="E36" s="143">
        <v>150</v>
      </c>
      <c r="F36" s="134">
        <v>265</v>
      </c>
      <c r="G36" s="145">
        <f t="shared" si="0"/>
        <v>39750</v>
      </c>
      <c r="H36" s="146">
        <f t="shared" si="1"/>
        <v>0.18867924528301888</v>
      </c>
      <c r="I36" s="147">
        <v>50</v>
      </c>
      <c r="J36" s="148">
        <v>400</v>
      </c>
      <c r="K36" s="148">
        <f t="shared" si="2"/>
        <v>60000</v>
      </c>
    </row>
    <row r="37" spans="1:12" ht="15.6">
      <c r="A37" s="132">
        <v>34</v>
      </c>
      <c r="B37" s="131" t="s">
        <v>367</v>
      </c>
      <c r="C37" s="132"/>
      <c r="D37" s="133" t="s">
        <v>374</v>
      </c>
      <c r="E37" s="143">
        <f>150-18</f>
        <v>132</v>
      </c>
      <c r="F37" s="134">
        <v>278</v>
      </c>
      <c r="G37" s="145">
        <f t="shared" si="0"/>
        <v>36696</v>
      </c>
      <c r="H37" s="146">
        <f t="shared" si="1"/>
        <v>0.17985611510791366</v>
      </c>
      <c r="I37" s="147">
        <v>50</v>
      </c>
      <c r="J37" s="148">
        <v>400</v>
      </c>
      <c r="K37" s="148">
        <f t="shared" si="2"/>
        <v>52800</v>
      </c>
    </row>
    <row r="38" spans="1:12" ht="15.6">
      <c r="A38" s="132">
        <v>35</v>
      </c>
      <c r="B38" s="131" t="s">
        <v>368</v>
      </c>
      <c r="C38" s="132"/>
      <c r="D38" s="133" t="s">
        <v>375</v>
      </c>
      <c r="E38" s="143">
        <v>33</v>
      </c>
      <c r="F38" s="134">
        <v>500</v>
      </c>
      <c r="G38" s="145">
        <f t="shared" si="0"/>
        <v>16500</v>
      </c>
      <c r="H38" s="146">
        <f t="shared" si="1"/>
        <v>0.2</v>
      </c>
      <c r="I38" s="147">
        <v>100</v>
      </c>
      <c r="J38" s="148">
        <v>600</v>
      </c>
      <c r="K38" s="148">
        <f t="shared" si="2"/>
        <v>19800</v>
      </c>
    </row>
    <row r="39" spans="1:12" ht="15.6">
      <c r="A39" s="132">
        <v>36</v>
      </c>
      <c r="B39" s="131" t="s">
        <v>380</v>
      </c>
      <c r="C39" s="132"/>
      <c r="D39" s="133" t="s">
        <v>376</v>
      </c>
      <c r="E39" s="143">
        <v>6</v>
      </c>
      <c r="F39" s="134">
        <v>2330</v>
      </c>
      <c r="G39" s="241">
        <f t="shared" si="0"/>
        <v>13980</v>
      </c>
      <c r="H39" s="242">
        <f t="shared" si="1"/>
        <v>0.17167381974248927</v>
      </c>
      <c r="I39" s="147">
        <v>400</v>
      </c>
      <c r="J39" s="148">
        <v>3500</v>
      </c>
      <c r="K39" s="148">
        <f t="shared" si="2"/>
        <v>21000</v>
      </c>
    </row>
    <row r="40" spans="1:12" ht="15.6">
      <c r="A40" s="132">
        <v>37</v>
      </c>
      <c r="B40" s="131" t="s">
        <v>381</v>
      </c>
      <c r="C40" s="132"/>
      <c r="D40" s="133" t="s">
        <v>377</v>
      </c>
      <c r="E40" s="143">
        <v>4</v>
      </c>
      <c r="F40" s="134"/>
      <c r="G40" s="241"/>
      <c r="H40" s="242"/>
      <c r="I40" s="147">
        <v>350</v>
      </c>
      <c r="J40" s="148">
        <v>2500</v>
      </c>
      <c r="K40" s="148">
        <f t="shared" si="2"/>
        <v>10000</v>
      </c>
    </row>
    <row r="41" spans="1:12" ht="15.6">
      <c r="A41" s="132">
        <v>38</v>
      </c>
      <c r="B41" s="131" t="s">
        <v>382</v>
      </c>
      <c r="C41" s="132"/>
      <c r="D41" s="133" t="s">
        <v>378</v>
      </c>
      <c r="E41" s="143">
        <v>8</v>
      </c>
      <c r="F41" s="134"/>
      <c r="G41" s="241"/>
      <c r="H41" s="242"/>
      <c r="I41" s="147">
        <v>300</v>
      </c>
      <c r="J41" s="148">
        <v>2000</v>
      </c>
      <c r="K41" s="148">
        <f t="shared" si="2"/>
        <v>16000</v>
      </c>
    </row>
    <row r="42" spans="1:12" ht="15.6">
      <c r="A42" s="132">
        <v>39</v>
      </c>
      <c r="B42" s="131" t="s">
        <v>363</v>
      </c>
      <c r="C42" s="132"/>
      <c r="D42" s="133" t="s">
        <v>379</v>
      </c>
      <c r="E42" s="143">
        <v>8</v>
      </c>
      <c r="F42" s="134"/>
      <c r="G42" s="241"/>
      <c r="H42" s="242"/>
      <c r="I42" s="147">
        <v>250</v>
      </c>
      <c r="J42" s="148">
        <v>1500</v>
      </c>
      <c r="K42" s="148">
        <f t="shared" si="2"/>
        <v>12000</v>
      </c>
    </row>
    <row r="43" spans="1:12" ht="15.6">
      <c r="A43" s="243">
        <v>40</v>
      </c>
      <c r="B43" s="244" t="s">
        <v>147</v>
      </c>
      <c r="C43" s="234" t="s">
        <v>149</v>
      </c>
      <c r="D43" s="234" t="s">
        <v>150</v>
      </c>
      <c r="E43" s="235">
        <v>4</v>
      </c>
      <c r="F43" s="236">
        <f>12980*50%</f>
        <v>6490</v>
      </c>
      <c r="G43" s="237">
        <f t="shared" si="0"/>
        <v>25960</v>
      </c>
      <c r="H43" s="238">
        <f>I43/F43</f>
        <v>0.10785824345146379</v>
      </c>
      <c r="I43" s="239">
        <v>700</v>
      </c>
      <c r="J43" s="240">
        <v>7800</v>
      </c>
      <c r="K43" s="240">
        <f t="shared" si="2"/>
        <v>31200</v>
      </c>
    </row>
    <row r="44" spans="1:12" ht="15.6">
      <c r="A44" s="152">
        <v>41</v>
      </c>
      <c r="B44" s="153" t="s">
        <v>147</v>
      </c>
      <c r="C44" s="153" t="s">
        <v>151</v>
      </c>
      <c r="D44" s="153" t="s">
        <v>152</v>
      </c>
      <c r="E44" s="154">
        <v>4</v>
      </c>
      <c r="F44" s="155">
        <f>12980*30%</f>
        <v>3894</v>
      </c>
      <c r="G44" s="156">
        <f t="shared" si="0"/>
        <v>15576</v>
      </c>
      <c r="H44" s="157">
        <f t="shared" si="1"/>
        <v>0.15408320493066255</v>
      </c>
      <c r="I44" s="158">
        <v>600</v>
      </c>
      <c r="J44" s="159">
        <v>6500</v>
      </c>
      <c r="K44" s="159">
        <f t="shared" si="2"/>
        <v>26000</v>
      </c>
    </row>
    <row r="45" spans="1:12" ht="15.6">
      <c r="A45" s="260">
        <v>42</v>
      </c>
      <c r="B45" s="261" t="s">
        <v>147</v>
      </c>
      <c r="C45" s="261" t="s">
        <v>153</v>
      </c>
      <c r="D45" s="262" t="s">
        <v>154</v>
      </c>
      <c r="E45" s="263">
        <v>4</v>
      </c>
      <c r="F45" s="264">
        <f>12980*20%</f>
        <v>2596</v>
      </c>
      <c r="G45" s="259">
        <f t="shared" si="0"/>
        <v>10384</v>
      </c>
      <c r="H45" s="265">
        <f t="shared" si="1"/>
        <v>0.19260400616332821</v>
      </c>
      <c r="I45" s="266">
        <v>500</v>
      </c>
      <c r="J45" s="267">
        <v>5000</v>
      </c>
      <c r="K45" s="267">
        <f t="shared" si="2"/>
        <v>20000</v>
      </c>
    </row>
    <row r="46" spans="1:12" s="312" customFormat="1" ht="15.6">
      <c r="A46" s="313">
        <v>43</v>
      </c>
      <c r="B46" s="131" t="s">
        <v>413</v>
      </c>
      <c r="C46" s="314" t="s">
        <v>414</v>
      </c>
      <c r="D46" s="133" t="s">
        <v>415</v>
      </c>
      <c r="E46" s="143">
        <v>15</v>
      </c>
      <c r="F46" s="143">
        <v>300</v>
      </c>
      <c r="G46" s="241">
        <f t="shared" si="0"/>
        <v>4500</v>
      </c>
      <c r="H46" s="316">
        <f t="shared" si="1"/>
        <v>0.2</v>
      </c>
      <c r="I46" s="269">
        <v>60</v>
      </c>
      <c r="J46" s="269">
        <v>500</v>
      </c>
      <c r="K46" s="315">
        <f t="shared" si="2"/>
        <v>7500</v>
      </c>
    </row>
    <row r="47" spans="1:12" s="312" customFormat="1" ht="15.6">
      <c r="A47" s="313">
        <v>44</v>
      </c>
      <c r="B47" s="131" t="s">
        <v>412</v>
      </c>
      <c r="C47" s="314" t="s">
        <v>416</v>
      </c>
      <c r="D47" s="133" t="s">
        <v>417</v>
      </c>
      <c r="E47" s="143">
        <v>15</v>
      </c>
      <c r="F47" s="143">
        <v>415</v>
      </c>
      <c r="G47" s="241">
        <f t="shared" si="0"/>
        <v>6225</v>
      </c>
      <c r="H47" s="316">
        <f t="shared" si="1"/>
        <v>0.48192771084337349</v>
      </c>
      <c r="I47" s="269">
        <v>200</v>
      </c>
      <c r="J47" s="269">
        <v>1000</v>
      </c>
      <c r="K47" s="315">
        <f t="shared" si="2"/>
        <v>15000</v>
      </c>
    </row>
    <row r="48" spans="1:12" s="269" customFormat="1" ht="15.6">
      <c r="A48" s="313">
        <v>45</v>
      </c>
      <c r="B48" s="131" t="s">
        <v>393</v>
      </c>
      <c r="C48" s="132"/>
      <c r="D48" s="133" t="s">
        <v>394</v>
      </c>
      <c r="E48" s="134">
        <v>15</v>
      </c>
      <c r="F48" s="134">
        <v>975</v>
      </c>
      <c r="G48" s="241">
        <f t="shared" si="0"/>
        <v>14625</v>
      </c>
      <c r="H48" s="242">
        <f t="shared" si="1"/>
        <v>0.25641025641025639</v>
      </c>
      <c r="I48" s="300">
        <v>250</v>
      </c>
      <c r="J48" s="300">
        <v>1500</v>
      </c>
      <c r="K48" s="300">
        <f t="shared" si="2"/>
        <v>22500</v>
      </c>
      <c r="L48" s="270"/>
    </row>
    <row r="49" spans="1:11" ht="16.2" thickBot="1">
      <c r="A49" s="149"/>
      <c r="B49" s="149"/>
      <c r="C49" s="149"/>
      <c r="D49" s="149"/>
      <c r="E49" s="149"/>
      <c r="F49" s="149"/>
      <c r="G49" s="268">
        <f>SUM(G2:G48)</f>
        <v>819386</v>
      </c>
      <c r="H49" s="150"/>
      <c r="I49" s="149"/>
      <c r="J49" s="149"/>
      <c r="K49" s="151">
        <f>SUM(K2:K48)</f>
        <v>1227925</v>
      </c>
    </row>
    <row r="52" spans="1:11">
      <c r="F52" s="125"/>
    </row>
    <row r="53" spans="1:11" ht="15.6">
      <c r="D53" s="31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8476-5642-4A8C-92C3-A7A65EFB2F62}">
  <dimension ref="A1:L20"/>
  <sheetViews>
    <sheetView topLeftCell="A7" workbookViewId="0">
      <selection activeCell="C26" sqref="C26"/>
    </sheetView>
  </sheetViews>
  <sheetFormatPr defaultRowHeight="14.4"/>
  <cols>
    <col min="2" max="2" width="12.6640625" customWidth="1"/>
    <col min="3" max="3" width="72.21875" customWidth="1"/>
    <col min="4" max="6" width="9" bestFit="1" customWidth="1"/>
    <col min="7" max="7" width="16.33203125" customWidth="1"/>
    <col min="8" max="8" width="9.5546875" bestFit="1" customWidth="1"/>
    <col min="9" max="9" width="12.77734375" bestFit="1" customWidth="1"/>
    <col min="10" max="10" width="8" bestFit="1" customWidth="1"/>
    <col min="11" max="11" width="10.44140625" bestFit="1" customWidth="1"/>
    <col min="12" max="12" width="11.21875" bestFit="1" customWidth="1"/>
  </cols>
  <sheetData>
    <row r="1" spans="1:12" ht="15" thickBot="1"/>
    <row r="2" spans="1:12" ht="15.6">
      <c r="A2" s="178" t="s">
        <v>219</v>
      </c>
      <c r="B2" s="179" t="s">
        <v>83</v>
      </c>
      <c r="C2" s="179" t="s">
        <v>84</v>
      </c>
      <c r="D2" s="180" t="s">
        <v>220</v>
      </c>
      <c r="E2" s="181" t="s">
        <v>221</v>
      </c>
      <c r="F2" s="182" t="s">
        <v>222</v>
      </c>
      <c r="G2" s="93" t="s">
        <v>296</v>
      </c>
      <c r="H2" s="183" t="s">
        <v>298</v>
      </c>
      <c r="I2" s="184" t="s">
        <v>299</v>
      </c>
      <c r="J2" s="185" t="s">
        <v>35</v>
      </c>
      <c r="K2" s="185" t="s">
        <v>36</v>
      </c>
      <c r="L2" s="186" t="s">
        <v>81</v>
      </c>
    </row>
    <row r="3" spans="1:12" ht="15.6">
      <c r="A3" s="187">
        <v>1</v>
      </c>
      <c r="B3" s="36" t="s">
        <v>223</v>
      </c>
      <c r="C3" s="37" t="s">
        <v>224</v>
      </c>
      <c r="D3" s="39">
        <v>3</v>
      </c>
      <c r="E3" s="40">
        <v>1</v>
      </c>
      <c r="F3" s="41">
        <v>6</v>
      </c>
      <c r="G3" s="41">
        <v>1095</v>
      </c>
      <c r="H3" s="174">
        <f>G3*F3+E3+D3</f>
        <v>6574</v>
      </c>
      <c r="I3" s="175">
        <f>J3/G3</f>
        <v>0.13698630136986301</v>
      </c>
      <c r="J3" s="176">
        <f>K3*10%</f>
        <v>150</v>
      </c>
      <c r="K3" s="42">
        <v>1500</v>
      </c>
      <c r="L3" s="188">
        <f>(D3+E3+F3)*K3</f>
        <v>15000</v>
      </c>
    </row>
    <row r="4" spans="1:12" ht="15.6">
      <c r="A4" s="187">
        <v>2</v>
      </c>
      <c r="B4" s="36" t="s">
        <v>225</v>
      </c>
      <c r="C4" s="37" t="s">
        <v>226</v>
      </c>
      <c r="D4" s="39">
        <v>8</v>
      </c>
      <c r="E4" s="40">
        <v>8</v>
      </c>
      <c r="F4" s="41">
        <v>8</v>
      </c>
      <c r="G4" s="41">
        <v>404</v>
      </c>
      <c r="H4" s="174">
        <f t="shared" ref="H4:H7" si="0">G4*F4+E4+D4</f>
        <v>3248</v>
      </c>
      <c r="I4" s="175">
        <f t="shared" ref="I4:I11" si="1">J4/G4</f>
        <v>0.24752475247524752</v>
      </c>
      <c r="J4" s="176">
        <v>100</v>
      </c>
      <c r="K4" s="42">
        <v>750</v>
      </c>
      <c r="L4" s="188">
        <f t="shared" ref="L4:L8" si="2">(D4+E4+F4)*K4</f>
        <v>18000</v>
      </c>
    </row>
    <row r="5" spans="1:12" ht="15.6">
      <c r="A5" s="187">
        <v>3</v>
      </c>
      <c r="B5" s="36" t="s">
        <v>227</v>
      </c>
      <c r="C5" s="37" t="s">
        <v>228</v>
      </c>
      <c r="D5" s="39">
        <v>12</v>
      </c>
      <c r="E5" s="40">
        <v>8</v>
      </c>
      <c r="F5" s="41">
        <v>8</v>
      </c>
      <c r="G5" s="41">
        <v>905</v>
      </c>
      <c r="H5" s="174">
        <f t="shared" si="0"/>
        <v>7260</v>
      </c>
      <c r="I5" s="175">
        <f t="shared" si="1"/>
        <v>0.13259668508287292</v>
      </c>
      <c r="J5" s="176">
        <v>120</v>
      </c>
      <c r="K5" s="42">
        <v>1250</v>
      </c>
      <c r="L5" s="188">
        <f t="shared" si="2"/>
        <v>35000</v>
      </c>
    </row>
    <row r="6" spans="1:12" ht="15.6">
      <c r="A6" s="187">
        <v>4</v>
      </c>
      <c r="B6" s="36" t="s">
        <v>229</v>
      </c>
      <c r="C6" s="37" t="s">
        <v>230</v>
      </c>
      <c r="D6" s="39">
        <v>8</v>
      </c>
      <c r="E6" s="40">
        <v>8</v>
      </c>
      <c r="F6" s="41">
        <v>8</v>
      </c>
      <c r="G6" s="41">
        <v>536</v>
      </c>
      <c r="H6" s="174">
        <f t="shared" si="0"/>
        <v>4304</v>
      </c>
      <c r="I6" s="175">
        <f t="shared" si="1"/>
        <v>0.18656716417910449</v>
      </c>
      <c r="J6" s="176">
        <v>100</v>
      </c>
      <c r="K6" s="42">
        <v>750</v>
      </c>
      <c r="L6" s="188">
        <f t="shared" si="2"/>
        <v>18000</v>
      </c>
    </row>
    <row r="7" spans="1:12" ht="15.6">
      <c r="A7" s="187">
        <v>5</v>
      </c>
      <c r="B7" s="36" t="s">
        <v>231</v>
      </c>
      <c r="C7" s="37" t="s">
        <v>232</v>
      </c>
      <c r="D7" s="39">
        <v>8</v>
      </c>
      <c r="E7" s="40">
        <v>8</v>
      </c>
      <c r="F7" s="41">
        <v>8</v>
      </c>
      <c r="G7" s="41">
        <v>338</v>
      </c>
      <c r="H7" s="174">
        <f t="shared" si="0"/>
        <v>2720</v>
      </c>
      <c r="I7" s="175">
        <f t="shared" si="1"/>
        <v>0.29585798816568049</v>
      </c>
      <c r="J7" s="176">
        <v>100</v>
      </c>
      <c r="K7" s="42">
        <v>500</v>
      </c>
      <c r="L7" s="188">
        <f t="shared" si="2"/>
        <v>12000</v>
      </c>
    </row>
    <row r="8" spans="1:12" ht="15.6">
      <c r="A8" s="187">
        <v>6</v>
      </c>
      <c r="B8" s="36" t="s">
        <v>233</v>
      </c>
      <c r="C8" s="37" t="s">
        <v>234</v>
      </c>
      <c r="D8" s="43">
        <v>35</v>
      </c>
      <c r="E8" s="40"/>
      <c r="F8" s="41"/>
      <c r="G8" s="41">
        <v>350</v>
      </c>
      <c r="H8" s="174">
        <f>G8*D8</f>
        <v>12250</v>
      </c>
      <c r="I8" s="175">
        <f t="shared" si="1"/>
        <v>0.14285714285714285</v>
      </c>
      <c r="J8" s="176">
        <v>50</v>
      </c>
      <c r="K8" s="42">
        <v>350</v>
      </c>
      <c r="L8" s="188">
        <f t="shared" si="2"/>
        <v>12250</v>
      </c>
    </row>
    <row r="9" spans="1:12" ht="33.6" customHeight="1">
      <c r="A9" s="189">
        <v>7</v>
      </c>
      <c r="B9" s="38" t="s">
        <v>235</v>
      </c>
      <c r="C9" s="37" t="s">
        <v>303</v>
      </c>
      <c r="D9" s="44">
        <v>12</v>
      </c>
      <c r="E9" s="45">
        <v>0</v>
      </c>
      <c r="F9" s="46">
        <v>0</v>
      </c>
      <c r="G9" s="46">
        <v>3614</v>
      </c>
      <c r="H9" s="174">
        <f t="shared" ref="H9:H19" si="3">D9*G9</f>
        <v>43368</v>
      </c>
      <c r="I9" s="175">
        <f t="shared" si="1"/>
        <v>9.6845600442722751E-2</v>
      </c>
      <c r="J9" s="176">
        <v>350</v>
      </c>
      <c r="K9" s="42">
        <v>4000</v>
      </c>
      <c r="L9" s="188">
        <f>D9*K9</f>
        <v>48000</v>
      </c>
    </row>
    <row r="10" spans="1:12" ht="15.6">
      <c r="A10" s="189">
        <v>8</v>
      </c>
      <c r="B10" s="38" t="s">
        <v>236</v>
      </c>
      <c r="C10" s="37" t="s">
        <v>304</v>
      </c>
      <c r="D10" s="44">
        <v>12</v>
      </c>
      <c r="E10" s="45">
        <v>0</v>
      </c>
      <c r="F10" s="46">
        <v>0</v>
      </c>
      <c r="G10" s="46">
        <v>4090</v>
      </c>
      <c r="H10" s="174">
        <f t="shared" si="3"/>
        <v>49080</v>
      </c>
      <c r="I10" s="175">
        <f t="shared" si="1"/>
        <v>8.557457212713937E-2</v>
      </c>
      <c r="J10" s="176">
        <v>350</v>
      </c>
      <c r="K10" s="42">
        <v>4500</v>
      </c>
      <c r="L10" s="188">
        <f t="shared" ref="L10:L19" si="4">D10*K10</f>
        <v>54000</v>
      </c>
    </row>
    <row r="11" spans="1:12" ht="15.6">
      <c r="A11" s="189">
        <v>9</v>
      </c>
      <c r="B11" s="38" t="s">
        <v>237</v>
      </c>
      <c r="C11" s="37" t="s">
        <v>305</v>
      </c>
      <c r="D11" s="44">
        <v>12</v>
      </c>
      <c r="E11" s="45">
        <v>0</v>
      </c>
      <c r="F11" s="46">
        <v>0</v>
      </c>
      <c r="G11" s="46">
        <v>1052</v>
      </c>
      <c r="H11" s="174">
        <f t="shared" si="3"/>
        <v>12624</v>
      </c>
      <c r="I11" s="175">
        <f t="shared" si="1"/>
        <v>0.33269961977186313</v>
      </c>
      <c r="J11" s="176">
        <v>350</v>
      </c>
      <c r="K11" s="42">
        <v>1500</v>
      </c>
      <c r="L11" s="188">
        <f t="shared" si="4"/>
        <v>18000</v>
      </c>
    </row>
    <row r="12" spans="1:12" ht="27" customHeight="1">
      <c r="A12" s="189">
        <v>10</v>
      </c>
      <c r="B12" s="38" t="s">
        <v>315</v>
      </c>
      <c r="C12" s="37" t="s">
        <v>317</v>
      </c>
      <c r="D12" s="44">
        <v>8</v>
      </c>
      <c r="E12" s="177">
        <v>0</v>
      </c>
      <c r="F12" s="177">
        <v>0</v>
      </c>
      <c r="G12" s="46">
        <v>663</v>
      </c>
      <c r="H12" s="174">
        <f t="shared" si="3"/>
        <v>5304</v>
      </c>
      <c r="I12" s="175">
        <f t="shared" ref="I12:I19" si="5">J12/G12</f>
        <v>0.37707390648567118</v>
      </c>
      <c r="J12" s="176">
        <v>250</v>
      </c>
      <c r="K12" s="42">
        <v>900</v>
      </c>
      <c r="L12" s="188">
        <f t="shared" si="4"/>
        <v>7200</v>
      </c>
    </row>
    <row r="13" spans="1:12" ht="27" customHeight="1">
      <c r="A13" s="189">
        <v>11</v>
      </c>
      <c r="B13" s="36" t="s">
        <v>338</v>
      </c>
      <c r="C13" s="37" t="s">
        <v>337</v>
      </c>
      <c r="D13" s="44">
        <v>32</v>
      </c>
      <c r="E13" s="177"/>
      <c r="F13" s="177"/>
      <c r="G13" s="46">
        <v>354</v>
      </c>
      <c r="H13" s="174">
        <f t="shared" si="3"/>
        <v>11328</v>
      </c>
      <c r="I13" s="175">
        <f t="shared" si="5"/>
        <v>0.16949152542372881</v>
      </c>
      <c r="J13" s="176">
        <v>60</v>
      </c>
      <c r="K13" s="42">
        <v>500</v>
      </c>
      <c r="L13" s="188">
        <f t="shared" si="4"/>
        <v>16000</v>
      </c>
    </row>
    <row r="14" spans="1:12" ht="27" customHeight="1">
      <c r="A14" s="189">
        <v>12</v>
      </c>
      <c r="B14" s="36" t="s">
        <v>339</v>
      </c>
      <c r="C14" s="37" t="s">
        <v>336</v>
      </c>
      <c r="D14" s="44">
        <v>32</v>
      </c>
      <c r="E14" s="177"/>
      <c r="F14" s="177"/>
      <c r="G14" s="46">
        <v>354</v>
      </c>
      <c r="H14" s="174">
        <f t="shared" si="3"/>
        <v>11328</v>
      </c>
      <c r="I14" s="175">
        <f t="shared" si="5"/>
        <v>0.16949152542372881</v>
      </c>
      <c r="J14" s="176">
        <v>60</v>
      </c>
      <c r="K14" s="42">
        <v>500</v>
      </c>
      <c r="L14" s="188">
        <f t="shared" si="4"/>
        <v>16000</v>
      </c>
    </row>
    <row r="15" spans="1:12" ht="27" customHeight="1">
      <c r="A15" s="189">
        <v>13</v>
      </c>
      <c r="B15" s="38" t="s">
        <v>340</v>
      </c>
      <c r="C15" s="37" t="s">
        <v>341</v>
      </c>
      <c r="D15" s="44">
        <v>33</v>
      </c>
      <c r="E15" s="177"/>
      <c r="F15" s="177"/>
      <c r="G15" s="46">
        <v>443</v>
      </c>
      <c r="H15" s="174">
        <f t="shared" si="3"/>
        <v>14619</v>
      </c>
      <c r="I15" s="175">
        <f t="shared" si="5"/>
        <v>0.45146726862302483</v>
      </c>
      <c r="J15" s="176">
        <v>200</v>
      </c>
      <c r="K15" s="42">
        <v>700</v>
      </c>
      <c r="L15" s="188">
        <f t="shared" si="4"/>
        <v>23100</v>
      </c>
    </row>
    <row r="16" spans="1:12" ht="27" customHeight="1">
      <c r="A16" s="189">
        <v>14</v>
      </c>
      <c r="B16" s="38" t="s">
        <v>11</v>
      </c>
      <c r="C16" s="37" t="s">
        <v>386</v>
      </c>
      <c r="D16" s="44">
        <v>24</v>
      </c>
      <c r="E16" s="177"/>
      <c r="F16" s="177"/>
      <c r="G16" s="46">
        <v>550</v>
      </c>
      <c r="H16" s="174">
        <f t="shared" si="3"/>
        <v>13200</v>
      </c>
      <c r="I16" s="175">
        <f t="shared" si="5"/>
        <v>0.36363636363636365</v>
      </c>
      <c r="J16" s="176">
        <v>200</v>
      </c>
      <c r="K16" s="42">
        <v>800</v>
      </c>
      <c r="L16" s="188">
        <f t="shared" si="4"/>
        <v>19200</v>
      </c>
    </row>
    <row r="17" spans="1:12" ht="27" customHeight="1">
      <c r="A17" s="189">
        <v>15</v>
      </c>
      <c r="B17" s="38" t="s">
        <v>388</v>
      </c>
      <c r="C17" s="37" t="s">
        <v>389</v>
      </c>
      <c r="D17" s="44">
        <v>210</v>
      </c>
      <c r="E17" s="177"/>
      <c r="F17" s="177"/>
      <c r="G17" s="46">
        <v>54</v>
      </c>
      <c r="H17" s="174">
        <f t="shared" si="3"/>
        <v>11340</v>
      </c>
      <c r="I17" s="175">
        <f t="shared" si="5"/>
        <v>0.46296296296296297</v>
      </c>
      <c r="J17" s="176">
        <v>25</v>
      </c>
      <c r="K17" s="42">
        <v>100</v>
      </c>
      <c r="L17" s="188">
        <f t="shared" si="4"/>
        <v>21000</v>
      </c>
    </row>
    <row r="18" spans="1:12" ht="27" customHeight="1">
      <c r="A18" s="189">
        <v>16</v>
      </c>
      <c r="B18" s="38" t="s">
        <v>418</v>
      </c>
      <c r="C18" s="37" t="s">
        <v>419</v>
      </c>
      <c r="D18" s="44">
        <v>8</v>
      </c>
      <c r="E18" s="177"/>
      <c r="F18" s="177"/>
      <c r="G18" s="46">
        <f>750+135</f>
        <v>885</v>
      </c>
      <c r="H18" s="174">
        <f t="shared" si="3"/>
        <v>7080</v>
      </c>
      <c r="I18" s="175">
        <f t="shared" si="5"/>
        <v>0.79096045197740117</v>
      </c>
      <c r="J18" s="176">
        <v>700</v>
      </c>
      <c r="K18" s="42">
        <v>3500</v>
      </c>
      <c r="L18" s="188">
        <f t="shared" si="4"/>
        <v>28000</v>
      </c>
    </row>
    <row r="19" spans="1:12" ht="28.2" customHeight="1">
      <c r="A19" s="189">
        <v>17</v>
      </c>
      <c r="B19" s="38" t="s">
        <v>316</v>
      </c>
      <c r="C19" s="37" t="s">
        <v>318</v>
      </c>
      <c r="D19" s="44">
        <v>10</v>
      </c>
      <c r="E19" s="177">
        <v>0</v>
      </c>
      <c r="F19" s="177">
        <v>0</v>
      </c>
      <c r="G19" s="46">
        <v>663</v>
      </c>
      <c r="H19" s="174">
        <f t="shared" si="3"/>
        <v>6630</v>
      </c>
      <c r="I19" s="175">
        <f t="shared" si="5"/>
        <v>0.37707390648567118</v>
      </c>
      <c r="J19" s="176">
        <v>250</v>
      </c>
      <c r="K19" s="42">
        <v>900</v>
      </c>
      <c r="L19" s="188">
        <f t="shared" si="4"/>
        <v>9000</v>
      </c>
    </row>
    <row r="20" spans="1:12" ht="16.2" thickBot="1">
      <c r="A20" s="190"/>
      <c r="B20" s="191"/>
      <c r="C20" s="192"/>
      <c r="D20" s="193"/>
      <c r="E20" s="194"/>
      <c r="F20" s="194"/>
      <c r="G20" s="195">
        <f>SUM(G3:G19)</f>
        <v>16350</v>
      </c>
      <c r="H20" s="196"/>
      <c r="I20" s="197">
        <f>(I3+I4+I5+I6+I7+I8+I9+I10+I11+I12+I19)/11</f>
        <v>0.21924160358572531</v>
      </c>
      <c r="J20" s="198"/>
      <c r="K20" s="199">
        <f>SUM(K3:K19)</f>
        <v>23000</v>
      </c>
      <c r="L20" s="200">
        <f>SUM(L3:L19)</f>
        <v>369750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E372-D7A1-49CC-B098-E4E707B25975}">
  <dimension ref="A1:J31"/>
  <sheetViews>
    <sheetView workbookViewId="0">
      <selection activeCell="B23" sqref="B23"/>
    </sheetView>
  </sheetViews>
  <sheetFormatPr defaultRowHeight="14.4"/>
  <cols>
    <col min="2" max="2" width="93.21875" bestFit="1" customWidth="1"/>
    <col min="3" max="3" width="13.21875" bestFit="1" customWidth="1"/>
    <col min="4" max="4" width="9.6640625" customWidth="1"/>
    <col min="5" max="5" width="15.21875" customWidth="1"/>
    <col min="6" max="6" width="13.21875" customWidth="1"/>
    <col min="7" max="7" width="12.77734375" bestFit="1" customWidth="1"/>
    <col min="8" max="8" width="8.109375" bestFit="1" customWidth="1"/>
    <col min="9" max="9" width="10.88671875" bestFit="1" customWidth="1"/>
    <col min="10" max="10" width="9.33203125" bestFit="1" customWidth="1"/>
  </cols>
  <sheetData>
    <row r="1" spans="1:10" ht="15" thickBot="1"/>
    <row r="2" spans="1:10" ht="31.2">
      <c r="A2" s="7" t="s">
        <v>155</v>
      </c>
      <c r="B2" s="8" t="s">
        <v>156</v>
      </c>
      <c r="C2" s="8" t="s">
        <v>157</v>
      </c>
      <c r="D2" s="8" t="s">
        <v>4</v>
      </c>
      <c r="E2" s="118" t="s">
        <v>296</v>
      </c>
      <c r="F2" s="120" t="s">
        <v>298</v>
      </c>
      <c r="G2" s="109" t="s">
        <v>299</v>
      </c>
      <c r="H2" s="122" t="s">
        <v>35</v>
      </c>
      <c r="I2" s="9" t="s">
        <v>36</v>
      </c>
      <c r="J2" s="9" t="s">
        <v>81</v>
      </c>
    </row>
    <row r="3" spans="1:10" ht="15.6">
      <c r="A3" s="10">
        <v>1</v>
      </c>
      <c r="B3" s="12" t="s">
        <v>158</v>
      </c>
      <c r="C3" s="11" t="s">
        <v>159</v>
      </c>
      <c r="D3" s="13">
        <v>7</v>
      </c>
      <c r="E3" s="119">
        <v>845</v>
      </c>
      <c r="F3" s="121">
        <f>D3*E3</f>
        <v>5915</v>
      </c>
      <c r="G3" s="124">
        <f>H3/E3</f>
        <v>0.35502958579881655</v>
      </c>
      <c r="H3" s="123">
        <v>300</v>
      </c>
      <c r="I3" s="14">
        <v>1200</v>
      </c>
      <c r="J3" s="14">
        <f>D3*I3</f>
        <v>8400</v>
      </c>
    </row>
    <row r="4" spans="1:10" ht="15.6">
      <c r="A4" s="10">
        <v>2</v>
      </c>
      <c r="B4" s="12" t="s">
        <v>160</v>
      </c>
      <c r="C4" s="11" t="s">
        <v>161</v>
      </c>
      <c r="D4" s="13">
        <v>6</v>
      </c>
      <c r="E4" s="119">
        <v>845</v>
      </c>
      <c r="F4" s="121">
        <f t="shared" ref="F4:F14" si="0">D4*E4</f>
        <v>5070</v>
      </c>
      <c r="G4" s="124">
        <f t="shared" ref="G4:G14" si="1">H4/E4</f>
        <v>0.35502958579881655</v>
      </c>
      <c r="H4" s="123">
        <v>300</v>
      </c>
      <c r="I4" s="14">
        <v>1200</v>
      </c>
      <c r="J4" s="14">
        <f t="shared" ref="J4:J14" si="2">D4*I4</f>
        <v>7200</v>
      </c>
    </row>
    <row r="5" spans="1:10" ht="15.6">
      <c r="A5" s="10">
        <v>3</v>
      </c>
      <c r="B5" s="12" t="s">
        <v>162</v>
      </c>
      <c r="C5" s="12" t="s">
        <v>163</v>
      </c>
      <c r="D5" s="13">
        <v>4</v>
      </c>
      <c r="E5" s="119">
        <v>1428</v>
      </c>
      <c r="F5" s="121">
        <f t="shared" si="0"/>
        <v>5712</v>
      </c>
      <c r="G5" s="124">
        <f t="shared" si="1"/>
        <v>0.35014005602240894</v>
      </c>
      <c r="H5" s="123">
        <v>500</v>
      </c>
      <c r="I5" s="14">
        <v>2000</v>
      </c>
      <c r="J5" s="14">
        <f t="shared" si="2"/>
        <v>8000</v>
      </c>
    </row>
    <row r="6" spans="1:10" ht="15.6">
      <c r="A6" s="10">
        <v>4</v>
      </c>
      <c r="B6" s="12" t="s">
        <v>164</v>
      </c>
      <c r="C6" s="11" t="s">
        <v>165</v>
      </c>
      <c r="D6" s="13">
        <v>6</v>
      </c>
      <c r="E6" s="119">
        <v>860</v>
      </c>
      <c r="F6" s="121">
        <f t="shared" si="0"/>
        <v>5160</v>
      </c>
      <c r="G6" s="124">
        <f t="shared" si="1"/>
        <v>0.34883720930232559</v>
      </c>
      <c r="H6" s="123">
        <v>300</v>
      </c>
      <c r="I6" s="14">
        <v>1200</v>
      </c>
      <c r="J6" s="14">
        <f t="shared" si="2"/>
        <v>7200</v>
      </c>
    </row>
    <row r="7" spans="1:10" ht="15.6">
      <c r="A7" s="10">
        <v>5</v>
      </c>
      <c r="B7" s="12" t="s">
        <v>166</v>
      </c>
      <c r="C7" s="11" t="s">
        <v>167</v>
      </c>
      <c r="D7" s="13">
        <v>6</v>
      </c>
      <c r="E7" s="119">
        <v>1310</v>
      </c>
      <c r="F7" s="121">
        <f t="shared" si="0"/>
        <v>7860</v>
      </c>
      <c r="G7" s="124">
        <f t="shared" si="1"/>
        <v>0.38167938931297712</v>
      </c>
      <c r="H7" s="123">
        <v>500</v>
      </c>
      <c r="I7" s="14">
        <v>2000</v>
      </c>
      <c r="J7" s="14">
        <f t="shared" si="2"/>
        <v>12000</v>
      </c>
    </row>
    <row r="8" spans="1:10" ht="15.6">
      <c r="A8" s="10">
        <v>6</v>
      </c>
      <c r="B8" s="12" t="s">
        <v>168</v>
      </c>
      <c r="C8" s="12" t="s">
        <v>169</v>
      </c>
      <c r="D8" s="13">
        <v>6</v>
      </c>
      <c r="E8" s="119">
        <v>609</v>
      </c>
      <c r="F8" s="121">
        <f t="shared" si="0"/>
        <v>3654</v>
      </c>
      <c r="G8" s="124">
        <f t="shared" si="1"/>
        <v>0.41050903119868637</v>
      </c>
      <c r="H8" s="123">
        <v>250</v>
      </c>
      <c r="I8" s="14">
        <v>1000</v>
      </c>
      <c r="J8" s="14">
        <f t="shared" si="2"/>
        <v>6000</v>
      </c>
    </row>
    <row r="9" spans="1:10" ht="15.6">
      <c r="A9" s="10">
        <v>7</v>
      </c>
      <c r="B9" s="12" t="s">
        <v>170</v>
      </c>
      <c r="C9" s="12" t="s">
        <v>171</v>
      </c>
      <c r="D9" s="13">
        <v>6</v>
      </c>
      <c r="E9" s="119">
        <v>713</v>
      </c>
      <c r="F9" s="121">
        <f t="shared" si="0"/>
        <v>4278</v>
      </c>
      <c r="G9" s="124">
        <f t="shared" si="1"/>
        <v>0.35063113604488078</v>
      </c>
      <c r="H9" s="123">
        <v>250</v>
      </c>
      <c r="I9" s="14">
        <v>1000</v>
      </c>
      <c r="J9" s="14">
        <f t="shared" si="2"/>
        <v>6000</v>
      </c>
    </row>
    <row r="10" spans="1:10" ht="15.6">
      <c r="A10" s="10">
        <v>8</v>
      </c>
      <c r="B10" s="12" t="s">
        <v>172</v>
      </c>
      <c r="C10" s="11" t="s">
        <v>173</v>
      </c>
      <c r="D10" s="13">
        <v>6</v>
      </c>
      <c r="E10" s="119">
        <v>871</v>
      </c>
      <c r="F10" s="121">
        <f t="shared" si="0"/>
        <v>5226</v>
      </c>
      <c r="G10" s="124">
        <f t="shared" si="1"/>
        <v>0.34443168771526983</v>
      </c>
      <c r="H10" s="123">
        <v>300</v>
      </c>
      <c r="I10" s="14">
        <v>1200</v>
      </c>
      <c r="J10" s="14">
        <f t="shared" si="2"/>
        <v>7200</v>
      </c>
    </row>
    <row r="11" spans="1:10" ht="15.6">
      <c r="A11" s="10">
        <v>9</v>
      </c>
      <c r="B11" s="12" t="s">
        <v>174</v>
      </c>
      <c r="C11" s="12" t="s">
        <v>175</v>
      </c>
      <c r="D11" s="13">
        <v>6</v>
      </c>
      <c r="E11" s="119">
        <v>520</v>
      </c>
      <c r="F11" s="121">
        <f t="shared" si="0"/>
        <v>3120</v>
      </c>
      <c r="G11" s="124">
        <f t="shared" si="1"/>
        <v>0.48076923076923078</v>
      </c>
      <c r="H11" s="123">
        <v>250</v>
      </c>
      <c r="I11" s="14">
        <v>1000</v>
      </c>
      <c r="J11" s="14">
        <f t="shared" si="2"/>
        <v>6000</v>
      </c>
    </row>
    <row r="12" spans="1:10" ht="15.6">
      <c r="A12" s="10">
        <v>10</v>
      </c>
      <c r="B12" s="12" t="s">
        <v>158</v>
      </c>
      <c r="C12" s="11" t="s">
        <v>176</v>
      </c>
      <c r="D12" s="13">
        <v>5</v>
      </c>
      <c r="E12" s="119">
        <v>606</v>
      </c>
      <c r="F12" s="121">
        <f t="shared" si="0"/>
        <v>3030</v>
      </c>
      <c r="G12" s="124">
        <f t="shared" si="1"/>
        <v>0.41254125412541254</v>
      </c>
      <c r="H12" s="123">
        <v>250</v>
      </c>
      <c r="I12" s="14">
        <v>1000</v>
      </c>
      <c r="J12" s="14">
        <f t="shared" si="2"/>
        <v>5000</v>
      </c>
    </row>
    <row r="13" spans="1:10" ht="15.6">
      <c r="A13" s="10">
        <v>11</v>
      </c>
      <c r="B13" s="12" t="s">
        <v>160</v>
      </c>
      <c r="C13" s="11" t="s">
        <v>177</v>
      </c>
      <c r="D13" s="13">
        <v>6</v>
      </c>
      <c r="E13" s="119">
        <v>705</v>
      </c>
      <c r="F13" s="121">
        <f t="shared" si="0"/>
        <v>4230</v>
      </c>
      <c r="G13" s="124">
        <f t="shared" si="1"/>
        <v>0.3546099290780142</v>
      </c>
      <c r="H13" s="123">
        <v>250</v>
      </c>
      <c r="I13" s="14">
        <v>1000</v>
      </c>
      <c r="J13" s="14">
        <f t="shared" si="2"/>
        <v>6000</v>
      </c>
    </row>
    <row r="14" spans="1:10" ht="15.6">
      <c r="A14" s="226">
        <v>12</v>
      </c>
      <c r="B14" s="227" t="s">
        <v>178</v>
      </c>
      <c r="C14" s="228" t="s">
        <v>179</v>
      </c>
      <c r="D14" s="229">
        <v>1</v>
      </c>
      <c r="E14" s="230">
        <v>1191</v>
      </c>
      <c r="F14" s="231">
        <f t="shared" si="0"/>
        <v>1191</v>
      </c>
      <c r="G14" s="232">
        <f t="shared" si="1"/>
        <v>0.33585222502099077</v>
      </c>
      <c r="H14" s="123">
        <v>400</v>
      </c>
      <c r="I14" s="14">
        <v>2000</v>
      </c>
      <c r="J14" s="14">
        <f t="shared" si="2"/>
        <v>2000</v>
      </c>
    </row>
    <row r="15" spans="1:10" ht="15.6">
      <c r="A15" s="226">
        <v>13</v>
      </c>
      <c r="B15" s="233" t="s">
        <v>347</v>
      </c>
      <c r="C15" s="228" t="s">
        <v>326</v>
      </c>
      <c r="D15" s="229">
        <v>1</v>
      </c>
      <c r="E15" s="230">
        <v>1191</v>
      </c>
      <c r="F15" s="231">
        <f t="shared" ref="F15:F19" si="3">D15*E15</f>
        <v>1191</v>
      </c>
      <c r="G15" s="232">
        <f t="shared" ref="G15:G19" si="4">H15/E15</f>
        <v>0.29387069689336692</v>
      </c>
      <c r="H15" s="123">
        <v>350</v>
      </c>
      <c r="I15" s="14">
        <v>1800</v>
      </c>
      <c r="J15" s="14">
        <f t="shared" ref="J15:J19" si="5">D15*I15</f>
        <v>1800</v>
      </c>
    </row>
    <row r="16" spans="1:10" ht="20.399999999999999" customHeight="1">
      <c r="A16" s="228">
        <v>14</v>
      </c>
      <c r="B16" s="227" t="s">
        <v>355</v>
      </c>
      <c r="C16" s="228" t="s">
        <v>348</v>
      </c>
      <c r="D16" s="229">
        <v>4</v>
      </c>
      <c r="E16" s="230">
        <v>1700</v>
      </c>
      <c r="F16" s="231">
        <f t="shared" si="3"/>
        <v>6800</v>
      </c>
      <c r="G16" s="232">
        <f t="shared" si="4"/>
        <v>0.23529411764705882</v>
      </c>
      <c r="H16" s="123">
        <v>400</v>
      </c>
      <c r="I16" s="14">
        <v>2000</v>
      </c>
      <c r="J16" s="14">
        <f t="shared" si="5"/>
        <v>8000</v>
      </c>
    </row>
    <row r="17" spans="1:10" ht="19.8" customHeight="1">
      <c r="A17" s="228">
        <v>15</v>
      </c>
      <c r="B17" s="227" t="s">
        <v>356</v>
      </c>
      <c r="C17" s="228" t="s">
        <v>349</v>
      </c>
      <c r="D17" s="229">
        <v>2</v>
      </c>
      <c r="E17" s="230">
        <v>1275</v>
      </c>
      <c r="F17" s="231">
        <f t="shared" si="3"/>
        <v>2550</v>
      </c>
      <c r="G17" s="232">
        <f t="shared" si="4"/>
        <v>0.27450980392156865</v>
      </c>
      <c r="H17" s="123">
        <v>350</v>
      </c>
      <c r="I17" s="14">
        <v>1800</v>
      </c>
      <c r="J17" s="14">
        <f t="shared" si="5"/>
        <v>3600</v>
      </c>
    </row>
    <row r="18" spans="1:10" ht="15.6">
      <c r="A18" s="228">
        <v>16</v>
      </c>
      <c r="B18" s="227" t="s">
        <v>357</v>
      </c>
      <c r="C18" s="228" t="s">
        <v>350</v>
      </c>
      <c r="D18" s="229">
        <v>3</v>
      </c>
      <c r="E18" s="230">
        <v>808</v>
      </c>
      <c r="F18" s="231">
        <f t="shared" si="3"/>
        <v>2424</v>
      </c>
      <c r="G18" s="232">
        <f t="shared" si="4"/>
        <v>0.12376237623762376</v>
      </c>
      <c r="H18" s="123">
        <v>100</v>
      </c>
      <c r="I18" s="14">
        <v>800</v>
      </c>
      <c r="J18" s="14">
        <f t="shared" si="5"/>
        <v>2400</v>
      </c>
    </row>
    <row r="19" spans="1:10" ht="15.6" customHeight="1">
      <c r="A19" s="228">
        <v>17</v>
      </c>
      <c r="B19" s="227" t="s">
        <v>358</v>
      </c>
      <c r="C19" s="228" t="s">
        <v>351</v>
      </c>
      <c r="D19" s="229">
        <v>3</v>
      </c>
      <c r="E19" s="230">
        <v>891</v>
      </c>
      <c r="F19" s="231">
        <f t="shared" si="3"/>
        <v>2673</v>
      </c>
      <c r="G19" s="232">
        <f t="shared" si="4"/>
        <v>0.1122334455667789</v>
      </c>
      <c r="H19" s="123">
        <v>100</v>
      </c>
      <c r="I19" s="14">
        <v>800</v>
      </c>
      <c r="J19" s="14">
        <f t="shared" si="5"/>
        <v>2400</v>
      </c>
    </row>
    <row r="20" spans="1:10" ht="15.6">
      <c r="A20" s="228">
        <v>18</v>
      </c>
      <c r="B20" s="227" t="s">
        <v>359</v>
      </c>
      <c r="C20" s="228" t="s">
        <v>352</v>
      </c>
      <c r="D20" s="229">
        <v>6</v>
      </c>
      <c r="E20" s="230">
        <v>1234</v>
      </c>
      <c r="F20" s="231">
        <f>E20*D20</f>
        <v>7404</v>
      </c>
      <c r="G20" s="232">
        <f>H20/E20</f>
        <v>0.28363047001620745</v>
      </c>
      <c r="H20" s="123">
        <v>350</v>
      </c>
      <c r="I20" s="14">
        <v>1500</v>
      </c>
      <c r="J20" s="14">
        <f>D20*I20</f>
        <v>9000</v>
      </c>
    </row>
    <row r="21" spans="1:10" ht="15.6">
      <c r="A21" s="228">
        <v>19</v>
      </c>
      <c r="B21" s="227" t="s">
        <v>360</v>
      </c>
      <c r="C21" s="228" t="s">
        <v>353</v>
      </c>
      <c r="D21" s="229">
        <v>6</v>
      </c>
      <c r="E21" s="230">
        <v>1083</v>
      </c>
      <c r="F21" s="231">
        <f t="shared" ref="F21:F22" si="6">E21*D21</f>
        <v>6498</v>
      </c>
      <c r="G21" s="232">
        <f t="shared" ref="G21:G22" si="7">H21/E21</f>
        <v>0.46168051708217911</v>
      </c>
      <c r="H21" s="123">
        <v>500</v>
      </c>
      <c r="I21" s="14">
        <f>2500</f>
        <v>2500</v>
      </c>
      <c r="J21" s="14">
        <f t="shared" ref="J21:J22" si="8">D21*I21</f>
        <v>15000</v>
      </c>
    </row>
    <row r="22" spans="1:10" ht="15.6">
      <c r="A22" s="228">
        <v>20</v>
      </c>
      <c r="B22" s="227" t="s">
        <v>361</v>
      </c>
      <c r="C22" s="228" t="s">
        <v>354</v>
      </c>
      <c r="D22" s="229">
        <v>6</v>
      </c>
      <c r="E22" s="230">
        <v>813</v>
      </c>
      <c r="F22" s="231">
        <f t="shared" si="6"/>
        <v>4878</v>
      </c>
      <c r="G22" s="232">
        <f t="shared" si="7"/>
        <v>0.49200492004920049</v>
      </c>
      <c r="H22" s="123">
        <v>400</v>
      </c>
      <c r="I22" s="14">
        <v>2000</v>
      </c>
      <c r="J22" s="14">
        <f t="shared" si="8"/>
        <v>12000</v>
      </c>
    </row>
    <row r="23" spans="1:10" ht="15.6">
      <c r="A23" s="11">
        <v>21</v>
      </c>
      <c r="B23" s="12"/>
      <c r="C23" s="11"/>
      <c r="D23" s="13"/>
      <c r="E23" s="119"/>
      <c r="F23" s="121"/>
      <c r="G23" s="124"/>
      <c r="H23" s="123"/>
      <c r="I23" s="14"/>
      <c r="J23" s="14"/>
    </row>
    <row r="24" spans="1:10" ht="15.6">
      <c r="A24" s="11">
        <v>22</v>
      </c>
      <c r="B24" s="12"/>
      <c r="C24" s="11"/>
      <c r="D24" s="13"/>
      <c r="E24" s="119"/>
      <c r="F24" s="121"/>
      <c r="G24" s="124"/>
      <c r="H24" s="123"/>
      <c r="I24" s="14"/>
      <c r="J24" s="14"/>
    </row>
    <row r="25" spans="1:10" ht="15.6">
      <c r="A25" s="11">
        <v>23</v>
      </c>
      <c r="B25" s="12"/>
      <c r="C25" s="11"/>
      <c r="D25" s="13"/>
      <c r="E25" s="119"/>
      <c r="F25" s="121"/>
      <c r="G25" s="124"/>
      <c r="H25" s="123"/>
      <c r="I25" s="14"/>
      <c r="J25" s="14"/>
    </row>
    <row r="26" spans="1:10" ht="16.2" thickBot="1">
      <c r="D26" s="6"/>
      <c r="E26" s="6"/>
      <c r="F26" s="223">
        <f>SUM(F3:F14)</f>
        <v>54446</v>
      </c>
      <c r="G26" s="224"/>
      <c r="H26" s="6"/>
      <c r="I26" s="6"/>
      <c r="J26" s="225">
        <f>SUM(J3:J14)</f>
        <v>81000</v>
      </c>
    </row>
    <row r="29" spans="1:10">
      <c r="C29">
        <v>1046</v>
      </c>
    </row>
    <row r="30" spans="1:10">
      <c r="C30">
        <f>C29*18%</f>
        <v>188.28</v>
      </c>
    </row>
    <row r="31" spans="1:10">
      <c r="C31">
        <f>C29+C30</f>
        <v>1234.28</v>
      </c>
    </row>
  </sheetData>
  <conditionalFormatting sqref="C2">
    <cfRule type="duplicateValues" dxfId="44" priority="12"/>
    <cfRule type="duplicateValues" dxfId="43" priority="13"/>
    <cfRule type="duplicateValues" dxfId="42" priority="14"/>
    <cfRule type="duplicateValues" dxfId="41" priority="15"/>
    <cfRule type="duplicateValues" dxfId="40" priority="16"/>
    <cfRule type="duplicateValues" dxfId="39" priority="17"/>
  </conditionalFormatting>
  <conditionalFormatting sqref="C3:C13">
    <cfRule type="duplicateValues" dxfId="38" priority="18"/>
    <cfRule type="duplicateValues" dxfId="37" priority="19"/>
    <cfRule type="duplicateValues" dxfId="36" priority="20"/>
    <cfRule type="duplicateValues" dxfId="35" priority="21"/>
    <cfRule type="duplicateValues" dxfId="34" priority="22"/>
    <cfRule type="duplicateValues" dxfId="33" priority="23"/>
    <cfRule type="duplicateValues" dxfId="32" priority="24"/>
    <cfRule type="duplicateValues" dxfId="31" priority="25"/>
    <cfRule type="duplicateValues" dxfId="30" priority="26"/>
    <cfRule type="duplicateValues" dxfId="29" priority="27"/>
    <cfRule type="duplicateValues" dxfId="28" priority="28"/>
  </conditionalFormatting>
  <conditionalFormatting sqref="C16:C25">
    <cfRule type="duplicateValues" dxfId="27" priority="1"/>
    <cfRule type="duplicateValues" dxfId="26" priority="2"/>
    <cfRule type="duplicateValues" dxfId="25" priority="3"/>
    <cfRule type="duplicateValues" dxfId="24" priority="4"/>
    <cfRule type="duplicateValues" dxfId="23" priority="5"/>
    <cfRule type="duplicateValues" dxfId="22" priority="6"/>
    <cfRule type="duplicateValues" dxfId="21" priority="7"/>
    <cfRule type="duplicateValues" dxfId="20" priority="8"/>
    <cfRule type="duplicateValues" dxfId="19" priority="9"/>
    <cfRule type="duplicateValues" dxfId="18" priority="10"/>
    <cfRule type="duplicateValues" dxfId="17" priority="1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748-97AA-451A-8882-C51186E9525B}">
  <dimension ref="A1:J5"/>
  <sheetViews>
    <sheetView workbookViewId="0">
      <selection activeCell="D21" sqref="D21"/>
    </sheetView>
  </sheetViews>
  <sheetFormatPr defaultRowHeight="14.4"/>
  <cols>
    <col min="2" max="2" width="56" customWidth="1"/>
    <col min="3" max="3" width="31.88671875" customWidth="1"/>
    <col min="4" max="4" width="14.21875" customWidth="1"/>
    <col min="5" max="5" width="16.6640625" customWidth="1"/>
    <col min="6" max="6" width="22.6640625" customWidth="1"/>
    <col min="7" max="7" width="18.77734375" customWidth="1"/>
    <col min="9" max="9" width="11.5546875" customWidth="1"/>
    <col min="10" max="10" width="11.109375" customWidth="1"/>
  </cols>
  <sheetData>
    <row r="1" spans="1:10" ht="15" thickBot="1"/>
    <row r="2" spans="1:10" ht="15.6">
      <c r="A2" s="7" t="s">
        <v>155</v>
      </c>
      <c r="B2" s="8" t="s">
        <v>156</v>
      </c>
      <c r="C2" s="8" t="s">
        <v>157</v>
      </c>
      <c r="D2" s="8" t="s">
        <v>4</v>
      </c>
      <c r="E2" s="118" t="s">
        <v>296</v>
      </c>
      <c r="F2" s="120" t="s">
        <v>327</v>
      </c>
      <c r="G2" s="109" t="s">
        <v>299</v>
      </c>
      <c r="H2" s="122" t="s">
        <v>35</v>
      </c>
      <c r="I2" s="9" t="s">
        <v>36</v>
      </c>
      <c r="J2" s="9" t="s">
        <v>81</v>
      </c>
    </row>
    <row r="3" spans="1:10" ht="15.6">
      <c r="A3" s="10">
        <v>1</v>
      </c>
      <c r="B3" s="12"/>
      <c r="C3" s="11" t="s">
        <v>159</v>
      </c>
      <c r="D3" s="13">
        <v>3</v>
      </c>
      <c r="E3" s="119">
        <v>1180</v>
      </c>
      <c r="F3" s="121">
        <f>D3*E3</f>
        <v>3540</v>
      </c>
      <c r="G3" s="124">
        <f>H3/E3</f>
        <v>0.1271186440677966</v>
      </c>
      <c r="H3" s="123">
        <v>150</v>
      </c>
      <c r="I3" s="14">
        <v>1450</v>
      </c>
      <c r="J3" s="14">
        <f>D3*I3</f>
        <v>4350</v>
      </c>
    </row>
    <row r="4" spans="1:10" ht="15.6">
      <c r="A4" s="10">
        <v>2</v>
      </c>
      <c r="B4" s="12" t="s">
        <v>329</v>
      </c>
      <c r="C4" s="11" t="s">
        <v>161</v>
      </c>
      <c r="D4" s="13">
        <v>6</v>
      </c>
      <c r="E4" s="119">
        <f>950+171</f>
        <v>1121</v>
      </c>
      <c r="F4" s="121">
        <f t="shared" ref="F4:F5" si="0">D4*E4</f>
        <v>6726</v>
      </c>
      <c r="G4" s="124">
        <f t="shared" ref="G4:G5" si="1">H4/E4</f>
        <v>0.13380909901873328</v>
      </c>
      <c r="H4" s="123">
        <v>150</v>
      </c>
      <c r="I4" s="14">
        <v>1350</v>
      </c>
      <c r="J4" s="14">
        <f t="shared" ref="J4:J5" si="2">D4*I4</f>
        <v>8100</v>
      </c>
    </row>
    <row r="5" spans="1:10" ht="15.6">
      <c r="A5" s="10">
        <v>3</v>
      </c>
      <c r="B5" s="12" t="s">
        <v>328</v>
      </c>
      <c r="C5" s="12" t="s">
        <v>163</v>
      </c>
      <c r="D5" s="13">
        <v>4</v>
      </c>
      <c r="E5" s="119">
        <v>1428</v>
      </c>
      <c r="F5" s="121">
        <f t="shared" si="0"/>
        <v>5712</v>
      </c>
      <c r="G5" s="124">
        <f t="shared" si="1"/>
        <v>0.35014005602240894</v>
      </c>
      <c r="H5" s="123">
        <v>500</v>
      </c>
      <c r="I5" s="14">
        <v>2000</v>
      </c>
      <c r="J5" s="14">
        <f t="shared" si="2"/>
        <v>8000</v>
      </c>
    </row>
  </sheetData>
  <conditionalFormatting sqref="C2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conditionalFormatting sqref="C3:C5"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8702-5C27-4D05-B93E-3D46C7920891}">
  <dimension ref="A1:K21"/>
  <sheetViews>
    <sheetView workbookViewId="0">
      <selection activeCell="E23" sqref="E23"/>
    </sheetView>
  </sheetViews>
  <sheetFormatPr defaultRowHeight="14.4"/>
  <cols>
    <col min="2" max="2" width="19.109375" customWidth="1"/>
    <col min="3" max="3" width="8.33203125" bestFit="1" customWidth="1"/>
    <col min="4" max="4" width="67" customWidth="1"/>
    <col min="5" max="5" width="17" bestFit="1" customWidth="1"/>
    <col min="6" max="7" width="17" customWidth="1"/>
    <col min="8" max="8" width="12.77734375" bestFit="1" customWidth="1"/>
    <col min="9" max="9" width="14.33203125" bestFit="1" customWidth="1"/>
    <col min="10" max="10" width="11.21875" bestFit="1" customWidth="1"/>
    <col min="11" max="11" width="11.77734375" bestFit="1" customWidth="1"/>
  </cols>
  <sheetData>
    <row r="1" spans="1:11" ht="15" thickBot="1"/>
    <row r="2" spans="1:11" ht="31.2">
      <c r="A2" s="15" t="s">
        <v>180</v>
      </c>
      <c r="B2" s="16" t="s">
        <v>181</v>
      </c>
      <c r="C2" s="16" t="s">
        <v>182</v>
      </c>
      <c r="D2" s="16" t="s">
        <v>183</v>
      </c>
      <c r="E2" s="16" t="s">
        <v>184</v>
      </c>
      <c r="F2" s="118" t="s">
        <v>296</v>
      </c>
      <c r="G2" s="120" t="s">
        <v>306</v>
      </c>
      <c r="H2" s="109" t="s">
        <v>299</v>
      </c>
      <c r="I2" s="16" t="s">
        <v>185</v>
      </c>
      <c r="J2" s="16" t="s">
        <v>186</v>
      </c>
      <c r="K2" s="16" t="s">
        <v>81</v>
      </c>
    </row>
    <row r="3" spans="1:11" ht="15.6">
      <c r="A3" s="17"/>
      <c r="B3" s="18" t="s">
        <v>187</v>
      </c>
      <c r="C3" s="18"/>
      <c r="D3" s="18"/>
      <c r="E3" s="18"/>
      <c r="F3" s="18"/>
      <c r="G3" s="18"/>
      <c r="H3" s="18"/>
      <c r="I3" s="18"/>
      <c r="J3" s="18"/>
      <c r="K3" s="18"/>
    </row>
    <row r="4" spans="1:11" ht="15.6">
      <c r="A4" s="19">
        <v>1</v>
      </c>
      <c r="B4" s="20" t="s">
        <v>188</v>
      </c>
      <c r="C4" s="20"/>
      <c r="D4" s="21" t="s">
        <v>189</v>
      </c>
      <c r="E4" s="29">
        <v>3</v>
      </c>
      <c r="F4" s="29">
        <v>876</v>
      </c>
      <c r="G4" s="29">
        <f>F4*E4</f>
        <v>2628</v>
      </c>
      <c r="H4" s="160">
        <f>I4/F4</f>
        <v>0.34246575342465752</v>
      </c>
      <c r="I4" s="30">
        <v>300</v>
      </c>
      <c r="J4" s="31">
        <v>1400</v>
      </c>
      <c r="K4" s="31">
        <f>E4*J4</f>
        <v>4200</v>
      </c>
    </row>
    <row r="5" spans="1:11" ht="15.6">
      <c r="A5" s="19">
        <v>2</v>
      </c>
      <c r="B5" s="20" t="s">
        <v>190</v>
      </c>
      <c r="C5" s="20"/>
      <c r="D5" s="21" t="s">
        <v>191</v>
      </c>
      <c r="E5" s="29">
        <v>1</v>
      </c>
      <c r="F5" s="29">
        <v>805</v>
      </c>
      <c r="G5" s="29">
        <f t="shared" ref="G5:G20" si="0">F5*E5</f>
        <v>805</v>
      </c>
      <c r="H5" s="160">
        <f t="shared" ref="H5:H20" si="1">I5/F5</f>
        <v>0.3105590062111801</v>
      </c>
      <c r="I5" s="30">
        <v>250</v>
      </c>
      <c r="J5" s="31">
        <v>1200</v>
      </c>
      <c r="K5" s="31">
        <f t="shared" ref="K5:K20" si="2">E5*J5</f>
        <v>1200</v>
      </c>
    </row>
    <row r="6" spans="1:11" ht="15.6">
      <c r="A6" s="19">
        <v>3</v>
      </c>
      <c r="B6" s="20" t="s">
        <v>192</v>
      </c>
      <c r="C6" s="20"/>
      <c r="D6" s="21" t="s">
        <v>193</v>
      </c>
      <c r="E6" s="29">
        <v>1</v>
      </c>
      <c r="F6" s="29">
        <v>484</v>
      </c>
      <c r="G6" s="29">
        <f t="shared" si="0"/>
        <v>484</v>
      </c>
      <c r="H6" s="160">
        <f t="shared" si="1"/>
        <v>0.41322314049586778</v>
      </c>
      <c r="I6" s="30">
        <v>200</v>
      </c>
      <c r="J6" s="31">
        <v>1000</v>
      </c>
      <c r="K6" s="31">
        <f t="shared" si="2"/>
        <v>1000</v>
      </c>
    </row>
    <row r="7" spans="1:11" ht="15.6">
      <c r="A7" s="19">
        <v>4</v>
      </c>
      <c r="B7" s="22" t="s">
        <v>194</v>
      </c>
      <c r="C7" s="22"/>
      <c r="D7" s="21" t="s">
        <v>195</v>
      </c>
      <c r="E7" s="32">
        <v>1</v>
      </c>
      <c r="F7" s="32">
        <v>1287</v>
      </c>
      <c r="G7" s="29">
        <f t="shared" si="0"/>
        <v>1287</v>
      </c>
      <c r="H7" s="160">
        <f t="shared" si="1"/>
        <v>0.23310023310023309</v>
      </c>
      <c r="I7" s="30">
        <v>300</v>
      </c>
      <c r="J7" s="31">
        <v>1500</v>
      </c>
      <c r="K7" s="31">
        <f t="shared" si="2"/>
        <v>1500</v>
      </c>
    </row>
    <row r="8" spans="1:11" ht="15.6">
      <c r="A8" s="19">
        <v>5</v>
      </c>
      <c r="B8" s="23" t="s">
        <v>196</v>
      </c>
      <c r="C8" s="23"/>
      <c r="D8" s="21" t="s">
        <v>197</v>
      </c>
      <c r="E8" s="33">
        <v>1</v>
      </c>
      <c r="F8" s="32">
        <v>1263</v>
      </c>
      <c r="G8" s="29">
        <f t="shared" si="0"/>
        <v>1263</v>
      </c>
      <c r="H8" s="160">
        <f t="shared" si="1"/>
        <v>0.19794140934283452</v>
      </c>
      <c r="I8" s="30">
        <v>250</v>
      </c>
      <c r="J8" s="31">
        <v>1400</v>
      </c>
      <c r="K8" s="31">
        <f t="shared" si="2"/>
        <v>1400</v>
      </c>
    </row>
    <row r="9" spans="1:11" ht="15.6">
      <c r="A9" s="19">
        <v>6</v>
      </c>
      <c r="B9" s="23" t="s">
        <v>198</v>
      </c>
      <c r="C9" s="23"/>
      <c r="D9" s="21" t="s">
        <v>199</v>
      </c>
      <c r="E9" s="33">
        <v>1</v>
      </c>
      <c r="F9" s="32">
        <v>1239</v>
      </c>
      <c r="G9" s="29">
        <f t="shared" si="0"/>
        <v>1239</v>
      </c>
      <c r="H9" s="160">
        <f t="shared" si="1"/>
        <v>0.16142050040355124</v>
      </c>
      <c r="I9" s="30">
        <v>200</v>
      </c>
      <c r="J9" s="31">
        <v>1300</v>
      </c>
      <c r="K9" s="31">
        <f t="shared" si="2"/>
        <v>1300</v>
      </c>
    </row>
    <row r="10" spans="1:11" ht="15.6">
      <c r="A10" s="19"/>
      <c r="B10" s="18" t="s">
        <v>200</v>
      </c>
      <c r="C10" s="18"/>
      <c r="D10" s="18"/>
      <c r="E10" s="34"/>
      <c r="F10" s="34">
        <v>1</v>
      </c>
      <c r="G10" s="34">
        <f t="shared" si="0"/>
        <v>0</v>
      </c>
      <c r="H10" s="161">
        <f t="shared" si="1"/>
        <v>0</v>
      </c>
      <c r="I10" s="34"/>
      <c r="J10" s="34"/>
      <c r="K10" s="34"/>
    </row>
    <row r="11" spans="1:11" ht="15.6">
      <c r="A11" s="19">
        <v>1</v>
      </c>
      <c r="B11" s="24" t="s">
        <v>201</v>
      </c>
      <c r="C11" s="24"/>
      <c r="D11" s="21" t="s">
        <v>202</v>
      </c>
      <c r="E11" s="32">
        <v>3</v>
      </c>
      <c r="F11" s="32">
        <v>1086</v>
      </c>
      <c r="G11" s="29">
        <f t="shared" si="0"/>
        <v>3258</v>
      </c>
      <c r="H11" s="160">
        <f t="shared" si="1"/>
        <v>0.27624309392265195</v>
      </c>
      <c r="I11" s="30">
        <v>300</v>
      </c>
      <c r="J11" s="31">
        <v>1400</v>
      </c>
      <c r="K11" s="31">
        <f t="shared" si="2"/>
        <v>4200</v>
      </c>
    </row>
    <row r="12" spans="1:11" ht="15.6">
      <c r="A12" s="19">
        <v>2</v>
      </c>
      <c r="B12" s="25" t="s">
        <v>203</v>
      </c>
      <c r="C12" s="25"/>
      <c r="D12" s="21" t="s">
        <v>204</v>
      </c>
      <c r="E12" s="33">
        <v>1</v>
      </c>
      <c r="F12" s="32">
        <v>909</v>
      </c>
      <c r="G12" s="29">
        <f t="shared" si="0"/>
        <v>909</v>
      </c>
      <c r="H12" s="160">
        <f t="shared" si="1"/>
        <v>0.27502750275027504</v>
      </c>
      <c r="I12" s="30">
        <v>250</v>
      </c>
      <c r="J12" s="31">
        <v>1200</v>
      </c>
      <c r="K12" s="31">
        <f t="shared" si="2"/>
        <v>1200</v>
      </c>
    </row>
    <row r="13" spans="1:11" ht="15.6">
      <c r="A13" s="19">
        <v>3</v>
      </c>
      <c r="B13" s="25" t="s">
        <v>205</v>
      </c>
      <c r="C13" s="25"/>
      <c r="D13" s="21" t="s">
        <v>206</v>
      </c>
      <c r="E13" s="33">
        <v>1</v>
      </c>
      <c r="F13" s="32">
        <v>862</v>
      </c>
      <c r="G13" s="29">
        <f t="shared" si="0"/>
        <v>862</v>
      </c>
      <c r="H13" s="160">
        <f t="shared" si="1"/>
        <v>0.23201856148491878</v>
      </c>
      <c r="I13" s="30">
        <v>200</v>
      </c>
      <c r="J13" s="31">
        <v>1000</v>
      </c>
      <c r="K13" s="31">
        <f t="shared" si="2"/>
        <v>1000</v>
      </c>
    </row>
    <row r="14" spans="1:11" ht="15.6">
      <c r="A14" s="19">
        <v>4</v>
      </c>
      <c r="B14" s="26" t="s">
        <v>207</v>
      </c>
      <c r="C14" s="26"/>
      <c r="D14" s="21" t="s">
        <v>208</v>
      </c>
      <c r="E14" s="32">
        <v>1</v>
      </c>
      <c r="F14" s="32">
        <v>944</v>
      </c>
      <c r="G14" s="29">
        <f t="shared" si="0"/>
        <v>944</v>
      </c>
      <c r="H14" s="160">
        <f t="shared" si="1"/>
        <v>0.31779661016949151</v>
      </c>
      <c r="I14" s="30">
        <v>300</v>
      </c>
      <c r="J14" s="31">
        <v>1400</v>
      </c>
      <c r="K14" s="31">
        <f t="shared" si="2"/>
        <v>1400</v>
      </c>
    </row>
    <row r="15" spans="1:11" ht="15.6">
      <c r="A15" s="19">
        <v>5</v>
      </c>
      <c r="B15" s="27" t="s">
        <v>209</v>
      </c>
      <c r="C15" s="27"/>
      <c r="D15" s="21" t="s">
        <v>210</v>
      </c>
      <c r="E15" s="33">
        <v>3</v>
      </c>
      <c r="F15" s="32">
        <v>897</v>
      </c>
      <c r="G15" s="29">
        <f t="shared" si="0"/>
        <v>2691</v>
      </c>
      <c r="H15" s="160">
        <f t="shared" si="1"/>
        <v>0.27870680044593088</v>
      </c>
      <c r="I15" s="30">
        <v>250</v>
      </c>
      <c r="J15" s="31">
        <v>1200</v>
      </c>
      <c r="K15" s="31">
        <f t="shared" si="2"/>
        <v>3600</v>
      </c>
    </row>
    <row r="16" spans="1:11" ht="15.6">
      <c r="A16" s="19">
        <v>6</v>
      </c>
      <c r="B16" s="27" t="s">
        <v>211</v>
      </c>
      <c r="C16" s="27"/>
      <c r="D16" s="21" t="s">
        <v>212</v>
      </c>
      <c r="E16" s="33">
        <v>1</v>
      </c>
      <c r="F16" s="32">
        <v>720</v>
      </c>
      <c r="G16" s="29">
        <f t="shared" si="0"/>
        <v>720</v>
      </c>
      <c r="H16" s="160">
        <f t="shared" si="1"/>
        <v>0.27777777777777779</v>
      </c>
      <c r="I16" s="30">
        <v>200</v>
      </c>
      <c r="J16" s="31">
        <v>1000</v>
      </c>
      <c r="K16" s="31">
        <f t="shared" si="2"/>
        <v>1000</v>
      </c>
    </row>
    <row r="17" spans="1:11" ht="15.6">
      <c r="A17" s="19">
        <v>7</v>
      </c>
      <c r="B17" s="28" t="s">
        <v>213</v>
      </c>
      <c r="C17" s="28"/>
      <c r="D17" s="21" t="s">
        <v>214</v>
      </c>
      <c r="E17" s="35">
        <v>1</v>
      </c>
      <c r="F17" s="29">
        <v>1062</v>
      </c>
      <c r="G17" s="29">
        <f t="shared" si="0"/>
        <v>1062</v>
      </c>
      <c r="H17" s="160">
        <f t="shared" si="1"/>
        <v>0.2824858757062147</v>
      </c>
      <c r="I17" s="30">
        <v>300</v>
      </c>
      <c r="J17" s="31">
        <v>1400</v>
      </c>
      <c r="K17" s="31">
        <f t="shared" si="2"/>
        <v>1400</v>
      </c>
    </row>
    <row r="18" spans="1:11" ht="15.6">
      <c r="A18" s="19">
        <v>8</v>
      </c>
      <c r="B18" s="20" t="s">
        <v>215</v>
      </c>
      <c r="C18" s="20"/>
      <c r="D18" s="21" t="s">
        <v>216</v>
      </c>
      <c r="E18" s="29">
        <v>1</v>
      </c>
      <c r="F18" s="29">
        <v>885</v>
      </c>
      <c r="G18" s="29">
        <f t="shared" si="0"/>
        <v>885</v>
      </c>
      <c r="H18" s="160">
        <f t="shared" si="1"/>
        <v>0.2824858757062147</v>
      </c>
      <c r="I18" s="30">
        <v>250</v>
      </c>
      <c r="J18" s="31">
        <v>1200</v>
      </c>
      <c r="K18" s="31">
        <f t="shared" si="2"/>
        <v>1200</v>
      </c>
    </row>
    <row r="19" spans="1:11" ht="15.6">
      <c r="A19" s="247">
        <v>9</v>
      </c>
      <c r="B19" s="248" t="s">
        <v>217</v>
      </c>
      <c r="C19" s="248"/>
      <c r="D19" s="246" t="s">
        <v>218</v>
      </c>
      <c r="E19" s="249">
        <v>3</v>
      </c>
      <c r="F19" s="249">
        <v>838</v>
      </c>
      <c r="G19" s="249">
        <f t="shared" si="0"/>
        <v>2514</v>
      </c>
      <c r="H19" s="252">
        <f t="shared" si="1"/>
        <v>0.2386634844868735</v>
      </c>
      <c r="I19" s="250">
        <v>200</v>
      </c>
      <c r="J19" s="251">
        <v>1000</v>
      </c>
      <c r="K19" s="251">
        <f t="shared" si="2"/>
        <v>3000</v>
      </c>
    </row>
    <row r="20" spans="1:11" ht="15.6">
      <c r="A20" s="255">
        <v>10</v>
      </c>
      <c r="B20" s="256" t="s">
        <v>385</v>
      </c>
      <c r="C20" s="98"/>
      <c r="D20" s="21" t="s">
        <v>387</v>
      </c>
      <c r="E20" s="35">
        <v>9</v>
      </c>
      <c r="F20" s="35">
        <v>900</v>
      </c>
      <c r="G20" s="35">
        <f t="shared" si="0"/>
        <v>8100</v>
      </c>
      <c r="H20" s="257">
        <f t="shared" si="1"/>
        <v>0.16666666666666666</v>
      </c>
      <c r="I20" s="258">
        <v>150</v>
      </c>
      <c r="J20" s="31">
        <v>1000</v>
      </c>
      <c r="K20" s="31">
        <f t="shared" si="2"/>
        <v>9000</v>
      </c>
    </row>
    <row r="21" spans="1:11" ht="15.6">
      <c r="E21" s="5"/>
      <c r="F21" s="5"/>
      <c r="G21" s="253">
        <f>SUM(G4:G20)</f>
        <v>29651</v>
      </c>
      <c r="H21" s="254">
        <f>SUM(H4:H19)/15</f>
        <v>0.2746610416952448</v>
      </c>
      <c r="I21" s="5"/>
      <c r="J21" s="5"/>
      <c r="K21" s="253">
        <f>SUM(K4:K20)</f>
        <v>37600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EFDE-53D2-4401-BDBF-431946108535}">
  <dimension ref="A2:J7"/>
  <sheetViews>
    <sheetView workbookViewId="0">
      <selection activeCell="E19" sqref="E19"/>
    </sheetView>
  </sheetViews>
  <sheetFormatPr defaultRowHeight="14.4"/>
  <cols>
    <col min="2" max="2" width="11.88671875" customWidth="1"/>
    <col min="3" max="3" width="45.44140625" customWidth="1"/>
    <col min="4" max="4" width="10.21875" bestFit="1" customWidth="1"/>
    <col min="5" max="5" width="14.44140625" bestFit="1" customWidth="1"/>
    <col min="6" max="6" width="23.44140625" bestFit="1" customWidth="1"/>
    <col min="7" max="7" width="12.77734375" bestFit="1" customWidth="1"/>
    <col min="8" max="8" width="9" bestFit="1" customWidth="1"/>
    <col min="9" max="9" width="11.44140625" customWidth="1"/>
    <col min="10" max="10" width="10.5546875" bestFit="1" customWidth="1"/>
  </cols>
  <sheetData>
    <row r="2" spans="1:10" ht="15.6">
      <c r="A2" s="164" t="s">
        <v>244</v>
      </c>
      <c r="B2" s="165" t="s">
        <v>83</v>
      </c>
      <c r="C2" s="165" t="s">
        <v>31</v>
      </c>
      <c r="D2" s="166" t="s">
        <v>247</v>
      </c>
      <c r="E2" s="114" t="s">
        <v>296</v>
      </c>
      <c r="F2" s="117" t="s">
        <v>307</v>
      </c>
      <c r="G2" s="167" t="s">
        <v>299</v>
      </c>
      <c r="H2" s="166" t="s">
        <v>245</v>
      </c>
      <c r="I2" s="168" t="s">
        <v>246</v>
      </c>
      <c r="J2" s="164" t="s">
        <v>81</v>
      </c>
    </row>
    <row r="3" spans="1:10" ht="15.6">
      <c r="A3" s="2">
        <v>1</v>
      </c>
      <c r="B3" s="1" t="s">
        <v>238</v>
      </c>
      <c r="C3" s="2" t="s">
        <v>239</v>
      </c>
      <c r="D3" s="3">
        <v>300</v>
      </c>
      <c r="E3" s="3">
        <v>365</v>
      </c>
      <c r="F3" s="3">
        <f>D3*E3</f>
        <v>109500</v>
      </c>
      <c r="G3" s="162">
        <f>H3/E3</f>
        <v>0.1095890410958904</v>
      </c>
      <c r="H3" s="3">
        <v>40</v>
      </c>
      <c r="I3" s="4">
        <v>365</v>
      </c>
      <c r="J3" s="169">
        <f>D3*I3</f>
        <v>109500</v>
      </c>
    </row>
    <row r="4" spans="1:10" ht="15.6">
      <c r="A4" s="2">
        <v>2</v>
      </c>
      <c r="B4" s="1" t="s">
        <v>240</v>
      </c>
      <c r="C4" s="2" t="s">
        <v>241</v>
      </c>
      <c r="D4" s="3">
        <v>312</v>
      </c>
      <c r="E4" s="3">
        <v>235</v>
      </c>
      <c r="F4" s="3">
        <f t="shared" ref="F4:F5" si="0">D4*E4</f>
        <v>73320</v>
      </c>
      <c r="G4" s="162">
        <f t="shared" ref="G4:G5" si="1">H4/E4</f>
        <v>0.1276595744680851</v>
      </c>
      <c r="H4" s="3">
        <v>30</v>
      </c>
      <c r="I4" s="4">
        <v>235</v>
      </c>
      <c r="J4" s="169">
        <f>D4*I4</f>
        <v>73320</v>
      </c>
    </row>
    <row r="5" spans="1:10" ht="15.6">
      <c r="A5" s="2">
        <v>3</v>
      </c>
      <c r="B5" s="1" t="s">
        <v>242</v>
      </c>
      <c r="C5" s="2" t="s">
        <v>243</v>
      </c>
      <c r="D5" s="3">
        <v>336</v>
      </c>
      <c r="E5" s="3">
        <v>175</v>
      </c>
      <c r="F5" s="3">
        <f t="shared" si="0"/>
        <v>58800</v>
      </c>
      <c r="G5" s="162">
        <f t="shared" si="1"/>
        <v>0.11428571428571428</v>
      </c>
      <c r="H5" s="3">
        <v>20</v>
      </c>
      <c r="I5" s="4">
        <v>175</v>
      </c>
      <c r="J5" s="169">
        <f>D5*I5</f>
        <v>58800</v>
      </c>
    </row>
    <row r="6" spans="1:10" ht="15.6">
      <c r="A6" s="2">
        <v>4</v>
      </c>
      <c r="B6" s="1" t="s">
        <v>313</v>
      </c>
      <c r="C6" s="2" t="s">
        <v>314</v>
      </c>
      <c r="D6" s="3">
        <v>24</v>
      </c>
      <c r="E6" s="3">
        <v>595</v>
      </c>
      <c r="F6" s="3">
        <f>D6*E6</f>
        <v>14280</v>
      </c>
      <c r="G6" s="162">
        <f>H6/E6</f>
        <v>8.4033613445378158E-2</v>
      </c>
      <c r="H6" s="3">
        <v>50</v>
      </c>
      <c r="I6" s="4">
        <v>700</v>
      </c>
      <c r="J6" s="169">
        <f>D6*I6</f>
        <v>16800</v>
      </c>
    </row>
    <row r="7" spans="1:10" ht="15.6">
      <c r="A7" s="170"/>
      <c r="B7" s="18"/>
      <c r="C7" s="170"/>
      <c r="D7" s="171"/>
      <c r="E7" s="171"/>
      <c r="F7" s="171">
        <f>SUM(F3:F6)</f>
        <v>255900</v>
      </c>
      <c r="G7" s="172">
        <f>(G3+G4+G5+G6)/4</f>
        <v>0.108891985823767</v>
      </c>
      <c r="H7" s="171"/>
      <c r="I7" s="34"/>
      <c r="J7" s="173">
        <f>SUM(J3:J6)</f>
        <v>258420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8A0B-CE4A-4792-9878-9EDD1CBC5876}">
  <dimension ref="A1:L36"/>
  <sheetViews>
    <sheetView workbookViewId="0">
      <selection activeCell="L7" sqref="L7"/>
    </sheetView>
  </sheetViews>
  <sheetFormatPr defaultRowHeight="14.4"/>
  <cols>
    <col min="2" max="2" width="31.88671875" customWidth="1"/>
    <col min="3" max="3" width="20.109375" customWidth="1"/>
    <col min="4" max="4" width="26.6640625" customWidth="1"/>
    <col min="5" max="5" width="23.109375" customWidth="1"/>
    <col min="7" max="7" width="20.6640625" bestFit="1" customWidth="1"/>
    <col min="8" max="8" width="11.33203125" bestFit="1" customWidth="1"/>
  </cols>
  <sheetData>
    <row r="1" spans="1:9" ht="15" thickBot="1"/>
    <row r="2" spans="1:9" ht="15" thickBot="1">
      <c r="A2" s="47" t="s">
        <v>180</v>
      </c>
      <c r="B2" s="48" t="s">
        <v>248</v>
      </c>
      <c r="C2" s="48" t="s">
        <v>157</v>
      </c>
      <c r="D2" s="49" t="s">
        <v>249</v>
      </c>
      <c r="E2" s="48" t="s">
        <v>250</v>
      </c>
      <c r="F2" s="50" t="s">
        <v>35</v>
      </c>
      <c r="G2" s="51" t="s">
        <v>36</v>
      </c>
      <c r="H2" s="51" t="s">
        <v>81</v>
      </c>
      <c r="I2" s="51" t="s">
        <v>322</v>
      </c>
    </row>
    <row r="3" spans="1:9" ht="24">
      <c r="A3" s="52">
        <v>1</v>
      </c>
      <c r="B3" s="319" t="s">
        <v>251</v>
      </c>
      <c r="C3" s="53" t="s">
        <v>252</v>
      </c>
      <c r="D3" s="54" t="s">
        <v>253</v>
      </c>
      <c r="E3" s="73">
        <v>60</v>
      </c>
      <c r="F3" s="74">
        <v>20</v>
      </c>
      <c r="G3" s="75">
        <v>100</v>
      </c>
      <c r="H3" s="75">
        <f>E3*G3</f>
        <v>6000</v>
      </c>
      <c r="I3" s="51">
        <f>F3/G3</f>
        <v>0.2</v>
      </c>
    </row>
    <row r="4" spans="1:9" ht="24">
      <c r="A4" s="52">
        <v>2</v>
      </c>
      <c r="B4" s="320"/>
      <c r="C4" s="53" t="s">
        <v>254</v>
      </c>
      <c r="D4" s="54" t="s">
        <v>255</v>
      </c>
      <c r="E4" s="73">
        <f>120+36+36</f>
        <v>192</v>
      </c>
      <c r="F4" s="74">
        <v>20</v>
      </c>
      <c r="G4" s="75">
        <v>100</v>
      </c>
      <c r="H4" s="75">
        <f t="shared" ref="H4:H10" si="0">E4*G4</f>
        <v>19200</v>
      </c>
      <c r="I4" s="202">
        <f t="shared" ref="I4:I10" si="1">F4/G4</f>
        <v>0.2</v>
      </c>
    </row>
    <row r="5" spans="1:9" ht="24">
      <c r="A5" s="52">
        <v>3</v>
      </c>
      <c r="B5" s="320"/>
      <c r="C5" s="53" t="s">
        <v>256</v>
      </c>
      <c r="D5" s="54" t="s">
        <v>257</v>
      </c>
      <c r="E5" s="73">
        <v>360</v>
      </c>
      <c r="F5" s="74">
        <v>30</v>
      </c>
      <c r="G5" s="75">
        <v>150</v>
      </c>
      <c r="H5" s="75">
        <f t="shared" si="0"/>
        <v>54000</v>
      </c>
      <c r="I5" s="202">
        <f t="shared" si="1"/>
        <v>0.2</v>
      </c>
    </row>
    <row r="6" spans="1:9" ht="24">
      <c r="A6" s="52">
        <v>4</v>
      </c>
      <c r="B6" s="320"/>
      <c r="C6" s="53" t="s">
        <v>258</v>
      </c>
      <c r="D6" s="54" t="s">
        <v>259</v>
      </c>
      <c r="E6" s="73">
        <v>360</v>
      </c>
      <c r="F6" s="74">
        <v>30</v>
      </c>
      <c r="G6" s="75">
        <v>150</v>
      </c>
      <c r="H6" s="75">
        <f t="shared" si="0"/>
        <v>54000</v>
      </c>
      <c r="I6" s="202">
        <f t="shared" si="1"/>
        <v>0.2</v>
      </c>
    </row>
    <row r="7" spans="1:9" ht="24">
      <c r="A7" s="52">
        <v>5</v>
      </c>
      <c r="B7" s="320"/>
      <c r="C7" s="53" t="s">
        <v>260</v>
      </c>
      <c r="D7" s="54" t="s">
        <v>261</v>
      </c>
      <c r="E7" s="73">
        <v>120</v>
      </c>
      <c r="F7" s="74">
        <v>30</v>
      </c>
      <c r="G7" s="75">
        <v>180</v>
      </c>
      <c r="H7" s="75">
        <f t="shared" si="0"/>
        <v>21600</v>
      </c>
      <c r="I7" s="202">
        <f t="shared" si="1"/>
        <v>0.16666666666666666</v>
      </c>
    </row>
    <row r="8" spans="1:9" ht="24">
      <c r="A8" s="52">
        <v>6</v>
      </c>
      <c r="B8" s="320"/>
      <c r="C8" s="53" t="s">
        <v>262</v>
      </c>
      <c r="D8" s="55" t="s">
        <v>263</v>
      </c>
      <c r="E8" s="73">
        <v>120</v>
      </c>
      <c r="F8" s="74">
        <v>30</v>
      </c>
      <c r="G8" s="75">
        <v>200</v>
      </c>
      <c r="H8" s="75">
        <f t="shared" si="0"/>
        <v>24000</v>
      </c>
      <c r="I8" s="202">
        <f t="shared" si="1"/>
        <v>0.15</v>
      </c>
    </row>
    <row r="9" spans="1:9" ht="24">
      <c r="A9" s="52">
        <v>7</v>
      </c>
      <c r="B9" s="320"/>
      <c r="C9" s="53" t="s">
        <v>264</v>
      </c>
      <c r="D9" s="54" t="s">
        <v>265</v>
      </c>
      <c r="E9" s="73">
        <v>48</v>
      </c>
      <c r="F9" s="74">
        <v>40</v>
      </c>
      <c r="G9" s="75">
        <v>200</v>
      </c>
      <c r="H9" s="75">
        <f t="shared" si="0"/>
        <v>9600</v>
      </c>
      <c r="I9" s="202">
        <f t="shared" si="1"/>
        <v>0.2</v>
      </c>
    </row>
    <row r="10" spans="1:9" ht="24.6" thickBot="1">
      <c r="A10" s="56">
        <v>8</v>
      </c>
      <c r="B10" s="321"/>
      <c r="C10" s="57" t="s">
        <v>266</v>
      </c>
      <c r="D10" s="58" t="s">
        <v>267</v>
      </c>
      <c r="E10" s="76">
        <v>48</v>
      </c>
      <c r="F10" s="77">
        <v>40</v>
      </c>
      <c r="G10" s="78">
        <v>200</v>
      </c>
      <c r="H10" s="78">
        <f t="shared" si="0"/>
        <v>9600</v>
      </c>
      <c r="I10" s="203">
        <f t="shared" si="1"/>
        <v>0.2</v>
      </c>
    </row>
    <row r="11" spans="1:9" ht="15" thickBot="1">
      <c r="A11" s="59"/>
      <c r="B11" s="59"/>
      <c r="C11" s="59"/>
      <c r="D11" s="59"/>
      <c r="E11" s="79"/>
      <c r="F11" s="79"/>
      <c r="G11" s="79"/>
      <c r="H11" s="80">
        <f>SUM(H3:H10)</f>
        <v>198000</v>
      </c>
      <c r="I11" s="204">
        <f>(I3+I4+I5+I6+I7+I8+I9+I10)/8</f>
        <v>0.18958333333333333</v>
      </c>
    </row>
    <row r="12" spans="1:9">
      <c r="A12" s="59"/>
      <c r="B12" s="59"/>
      <c r="C12" s="59"/>
      <c r="D12" s="59"/>
      <c r="E12" s="60"/>
      <c r="F12" s="60"/>
      <c r="G12" s="60"/>
    </row>
    <row r="13" spans="1:9" ht="15" thickBot="1">
      <c r="A13" s="59"/>
      <c r="B13" s="59"/>
      <c r="C13" s="59"/>
      <c r="D13" s="59"/>
      <c r="E13" s="60"/>
      <c r="F13" s="60"/>
      <c r="G13" s="60"/>
    </row>
    <row r="14" spans="1:9">
      <c r="A14" s="61" t="s">
        <v>180</v>
      </c>
      <c r="B14" s="62" t="s">
        <v>248</v>
      </c>
      <c r="C14" s="62" t="s">
        <v>157</v>
      </c>
      <c r="D14" s="62" t="s">
        <v>249</v>
      </c>
      <c r="E14" s="63" t="s">
        <v>250</v>
      </c>
      <c r="F14" s="64" t="s">
        <v>35</v>
      </c>
      <c r="G14" s="65" t="s">
        <v>268</v>
      </c>
      <c r="H14" s="65" t="s">
        <v>81</v>
      </c>
      <c r="I14" s="65" t="s">
        <v>322</v>
      </c>
    </row>
    <row r="15" spans="1:9" ht="24">
      <c r="A15" s="66">
        <v>1</v>
      </c>
      <c r="B15" s="322" t="s">
        <v>269</v>
      </c>
      <c r="C15" s="67" t="s">
        <v>270</v>
      </c>
      <c r="D15" s="68" t="s">
        <v>271</v>
      </c>
      <c r="E15" s="81">
        <f>48</f>
        <v>48</v>
      </c>
      <c r="F15" s="82">
        <v>20</v>
      </c>
      <c r="G15" s="83">
        <v>100</v>
      </c>
      <c r="H15" s="83">
        <f>E15*G15</f>
        <v>4800</v>
      </c>
      <c r="I15" s="205">
        <f>F15/G15</f>
        <v>0.2</v>
      </c>
    </row>
    <row r="16" spans="1:9" ht="24">
      <c r="A16" s="66">
        <v>2</v>
      </c>
      <c r="B16" s="323"/>
      <c r="C16" s="67" t="s">
        <v>272</v>
      </c>
      <c r="D16" s="68" t="s">
        <v>273</v>
      </c>
      <c r="E16" s="81">
        <f>60</f>
        <v>60</v>
      </c>
      <c r="F16" s="82">
        <v>20</v>
      </c>
      <c r="G16" s="83">
        <v>100</v>
      </c>
      <c r="H16" s="83">
        <f t="shared" ref="H16:H22" si="2">E16*G16</f>
        <v>6000</v>
      </c>
      <c r="I16" s="205">
        <f t="shared" ref="I16:I22" si="3">F16/G16</f>
        <v>0.2</v>
      </c>
    </row>
    <row r="17" spans="1:12" ht="24">
      <c r="A17" s="66">
        <v>3</v>
      </c>
      <c r="B17" s="323"/>
      <c r="C17" s="67" t="s">
        <v>274</v>
      </c>
      <c r="D17" s="68" t="s">
        <v>275</v>
      </c>
      <c r="E17" s="81">
        <f>180</f>
        <v>180</v>
      </c>
      <c r="F17" s="82">
        <v>30</v>
      </c>
      <c r="G17" s="83">
        <v>150</v>
      </c>
      <c r="H17" s="83">
        <f t="shared" si="2"/>
        <v>27000</v>
      </c>
      <c r="I17" s="205">
        <f t="shared" si="3"/>
        <v>0.2</v>
      </c>
      <c r="L17" s="201"/>
    </row>
    <row r="18" spans="1:12" ht="24">
      <c r="A18" s="66">
        <v>4</v>
      </c>
      <c r="B18" s="323"/>
      <c r="C18" s="67" t="s">
        <v>276</v>
      </c>
      <c r="D18" s="68" t="s">
        <v>277</v>
      </c>
      <c r="E18" s="81">
        <f>180</f>
        <v>180</v>
      </c>
      <c r="F18" s="82">
        <v>30</v>
      </c>
      <c r="G18" s="83">
        <v>150</v>
      </c>
      <c r="H18" s="83">
        <f t="shared" si="2"/>
        <v>27000</v>
      </c>
      <c r="I18" s="205">
        <f t="shared" si="3"/>
        <v>0.2</v>
      </c>
    </row>
    <row r="19" spans="1:12" ht="24">
      <c r="A19" s="66">
        <v>5</v>
      </c>
      <c r="B19" s="323"/>
      <c r="C19" s="67" t="s">
        <v>278</v>
      </c>
      <c r="D19" s="68" t="s">
        <v>279</v>
      </c>
      <c r="E19" s="81">
        <f>96</f>
        <v>96</v>
      </c>
      <c r="F19" s="82">
        <v>30</v>
      </c>
      <c r="G19" s="83">
        <v>180</v>
      </c>
      <c r="H19" s="83">
        <f t="shared" si="2"/>
        <v>17280</v>
      </c>
      <c r="I19" s="205">
        <f t="shared" si="3"/>
        <v>0.16666666666666666</v>
      </c>
    </row>
    <row r="20" spans="1:12" ht="24">
      <c r="A20" s="66">
        <v>6</v>
      </c>
      <c r="B20" s="323"/>
      <c r="C20" s="67" t="s">
        <v>280</v>
      </c>
      <c r="D20" s="69" t="s">
        <v>281</v>
      </c>
      <c r="E20" s="81">
        <f>60</f>
        <v>60</v>
      </c>
      <c r="F20" s="82">
        <v>30</v>
      </c>
      <c r="G20" s="83">
        <v>200</v>
      </c>
      <c r="H20" s="83">
        <f t="shared" si="2"/>
        <v>12000</v>
      </c>
      <c r="I20" s="205">
        <f t="shared" si="3"/>
        <v>0.15</v>
      </c>
    </row>
    <row r="21" spans="1:12" ht="24">
      <c r="A21" s="66">
        <v>7</v>
      </c>
      <c r="B21" s="323"/>
      <c r="C21" s="67" t="s">
        <v>282</v>
      </c>
      <c r="D21" s="68" t="s">
        <v>283</v>
      </c>
      <c r="E21" s="81">
        <v>24</v>
      </c>
      <c r="F21" s="82">
        <v>40</v>
      </c>
      <c r="G21" s="83">
        <v>200</v>
      </c>
      <c r="H21" s="83">
        <f t="shared" si="2"/>
        <v>4800</v>
      </c>
      <c r="I21" s="205">
        <f t="shared" si="3"/>
        <v>0.2</v>
      </c>
    </row>
    <row r="22" spans="1:12" ht="24.6" thickBot="1">
      <c r="A22" s="70">
        <v>8</v>
      </c>
      <c r="B22" s="324"/>
      <c r="C22" s="71" t="s">
        <v>284</v>
      </c>
      <c r="D22" s="72" t="s">
        <v>285</v>
      </c>
      <c r="E22" s="84">
        <v>24</v>
      </c>
      <c r="F22" s="85">
        <v>40</v>
      </c>
      <c r="G22" s="86">
        <v>200</v>
      </c>
      <c r="H22" s="86">
        <f t="shared" si="2"/>
        <v>4800</v>
      </c>
      <c r="I22" s="206">
        <f t="shared" si="3"/>
        <v>0.2</v>
      </c>
    </row>
    <row r="23" spans="1:12" ht="15" thickBot="1">
      <c r="E23" s="6"/>
      <c r="F23" s="6"/>
      <c r="G23" s="6"/>
      <c r="H23" s="87">
        <f>SUM(H15:H22)</f>
        <v>103680</v>
      </c>
      <c r="I23" s="207">
        <f>(I15+I16+I17+I18+I19+I20+I21+I22)/8</f>
        <v>0.18958333333333333</v>
      </c>
    </row>
    <row r="24" spans="1:12" ht="15" thickBot="1"/>
    <row r="25" spans="1:12" ht="15" thickBot="1">
      <c r="A25" s="208" t="s">
        <v>180</v>
      </c>
      <c r="B25" s="284" t="s">
        <v>248</v>
      </c>
      <c r="C25" s="284" t="s">
        <v>323</v>
      </c>
      <c r="D25" s="285" t="s">
        <v>250</v>
      </c>
      <c r="E25" s="285" t="s">
        <v>319</v>
      </c>
      <c r="F25" s="286" t="s">
        <v>35</v>
      </c>
      <c r="G25" s="287" t="s">
        <v>36</v>
      </c>
      <c r="H25" s="209" t="s">
        <v>81</v>
      </c>
      <c r="I25" s="209" t="s">
        <v>322</v>
      </c>
    </row>
    <row r="26" spans="1:12">
      <c r="A26" s="288">
        <v>1</v>
      </c>
      <c r="B26" s="289" t="s">
        <v>321</v>
      </c>
      <c r="C26" s="289" t="s">
        <v>320</v>
      </c>
      <c r="D26" s="275">
        <v>2</v>
      </c>
      <c r="E26" s="290">
        <v>399</v>
      </c>
      <c r="F26" s="276">
        <v>50</v>
      </c>
      <c r="G26" s="291">
        <v>500</v>
      </c>
      <c r="H26" s="276">
        <f>E26*D26</f>
        <v>798</v>
      </c>
      <c r="I26" s="292">
        <f>F26/E26</f>
        <v>0.12531328320802004</v>
      </c>
    </row>
    <row r="27" spans="1:12">
      <c r="A27" s="293">
        <v>2</v>
      </c>
      <c r="B27" s="277" t="s">
        <v>395</v>
      </c>
      <c r="C27" s="277" t="s">
        <v>400</v>
      </c>
      <c r="D27" s="279">
        <v>20</v>
      </c>
      <c r="E27" s="279">
        <f>2345/20</f>
        <v>117.25</v>
      </c>
      <c r="F27" s="281">
        <v>50</v>
      </c>
      <c r="G27" s="283">
        <v>200</v>
      </c>
      <c r="H27" s="281">
        <f>D27*E27</f>
        <v>2345</v>
      </c>
      <c r="I27" s="294">
        <f>F27/E27</f>
        <v>0.42643923240938164</v>
      </c>
    </row>
    <row r="28" spans="1:12">
      <c r="A28" s="293">
        <v>3</v>
      </c>
      <c r="B28" s="278" t="s">
        <v>396</v>
      </c>
      <c r="C28" s="278" t="s">
        <v>401</v>
      </c>
      <c r="D28" s="279">
        <v>12</v>
      </c>
      <c r="E28" s="280">
        <v>29</v>
      </c>
      <c r="F28" s="281">
        <v>30</v>
      </c>
      <c r="G28" s="282">
        <v>50</v>
      </c>
      <c r="H28" s="281">
        <f>D28*E28</f>
        <v>348</v>
      </c>
      <c r="I28" s="274">
        <f>F28/E28</f>
        <v>1.0344827586206897</v>
      </c>
    </row>
    <row r="29" spans="1:12">
      <c r="A29" s="293">
        <v>4</v>
      </c>
      <c r="B29" s="277" t="s">
        <v>397</v>
      </c>
      <c r="C29" s="277" t="s">
        <v>402</v>
      </c>
      <c r="D29" s="279">
        <v>12</v>
      </c>
      <c r="E29" s="279">
        <v>29</v>
      </c>
      <c r="F29" s="281">
        <v>30</v>
      </c>
      <c r="G29" s="283">
        <v>50</v>
      </c>
      <c r="H29" s="281">
        <f t="shared" ref="H29:H31" si="4">D29*E29</f>
        <v>348</v>
      </c>
      <c r="I29" s="294">
        <f t="shared" ref="I29:I31" si="5">F29/E29</f>
        <v>1.0344827586206897</v>
      </c>
    </row>
    <row r="30" spans="1:12">
      <c r="A30" s="293">
        <v>5</v>
      </c>
      <c r="B30" s="278" t="s">
        <v>398</v>
      </c>
      <c r="C30" s="278" t="s">
        <v>403</v>
      </c>
      <c r="D30" s="279">
        <v>12</v>
      </c>
      <c r="E30" s="280">
        <v>29</v>
      </c>
      <c r="F30" s="281">
        <v>30</v>
      </c>
      <c r="G30" s="282">
        <v>50</v>
      </c>
      <c r="H30" s="281">
        <f t="shared" si="4"/>
        <v>348</v>
      </c>
      <c r="I30" s="274">
        <f t="shared" si="5"/>
        <v>1.0344827586206897</v>
      </c>
    </row>
    <row r="31" spans="1:12">
      <c r="A31" s="293">
        <v>6</v>
      </c>
      <c r="B31" s="277" t="s">
        <v>399</v>
      </c>
      <c r="C31" s="277" t="s">
        <v>404</v>
      </c>
      <c r="D31" s="279">
        <v>12</v>
      </c>
      <c r="E31" s="279">
        <v>29</v>
      </c>
      <c r="F31" s="281">
        <v>30</v>
      </c>
      <c r="G31" s="283">
        <v>50</v>
      </c>
      <c r="H31" s="281">
        <f t="shared" si="4"/>
        <v>348</v>
      </c>
      <c r="I31" s="294">
        <f t="shared" si="5"/>
        <v>1.0344827586206897</v>
      </c>
    </row>
    <row r="33" spans="1:9" ht="15" thickBot="1"/>
    <row r="34" spans="1:9">
      <c r="A34" s="208" t="s">
        <v>180</v>
      </c>
      <c r="B34" s="284" t="s">
        <v>248</v>
      </c>
      <c r="C34" s="284" t="s">
        <v>323</v>
      </c>
      <c r="D34" s="285" t="s">
        <v>250</v>
      </c>
      <c r="E34" s="285" t="s">
        <v>319</v>
      </c>
      <c r="F34" s="286" t="s">
        <v>35</v>
      </c>
      <c r="G34" s="287" t="s">
        <v>36</v>
      </c>
      <c r="H34" s="209" t="s">
        <v>81</v>
      </c>
      <c r="I34" s="209" t="s">
        <v>322</v>
      </c>
    </row>
    <row r="35" spans="1:9">
      <c r="A35" s="214">
        <v>1</v>
      </c>
      <c r="B35" s="307" t="s">
        <v>406</v>
      </c>
      <c r="C35" s="307" t="s">
        <v>408</v>
      </c>
      <c r="D35" s="214">
        <v>42</v>
      </c>
      <c r="E35" s="214">
        <v>80</v>
      </c>
      <c r="F35" s="214">
        <v>20</v>
      </c>
      <c r="G35" s="214">
        <v>150</v>
      </c>
      <c r="H35" s="214">
        <f>G35*D35</f>
        <v>6300</v>
      </c>
      <c r="I35" s="245">
        <f>F35/G35</f>
        <v>0.13333333333333333</v>
      </c>
    </row>
    <row r="36" spans="1:9">
      <c r="A36" s="214">
        <v>2</v>
      </c>
      <c r="B36" s="307" t="s">
        <v>407</v>
      </c>
      <c r="C36" s="307" t="s">
        <v>409</v>
      </c>
      <c r="D36" s="214">
        <v>42</v>
      </c>
      <c r="E36" s="214">
        <v>30</v>
      </c>
      <c r="F36" s="214">
        <v>20</v>
      </c>
      <c r="G36" s="214">
        <v>150</v>
      </c>
      <c r="H36" s="214">
        <f>G36*D36</f>
        <v>6300</v>
      </c>
      <c r="I36" s="245">
        <f>F36/G36</f>
        <v>0.13333333333333333</v>
      </c>
    </row>
  </sheetData>
  <mergeCells count="2">
    <mergeCell ref="B3:B10"/>
    <mergeCell ref="B15:B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F3A9-8607-4B70-B571-CFC53C68DAC7}">
  <dimension ref="A1:J22"/>
  <sheetViews>
    <sheetView workbookViewId="0">
      <selection activeCell="E23" sqref="E23"/>
    </sheetView>
  </sheetViews>
  <sheetFormatPr defaultRowHeight="14.4"/>
  <cols>
    <col min="2" max="2" width="15.88671875" customWidth="1"/>
    <col min="3" max="3" width="22.33203125" bestFit="1" customWidth="1"/>
    <col min="4" max="4" width="13.109375" customWidth="1"/>
    <col min="5" max="5" width="18.6640625" customWidth="1"/>
    <col min="6" max="6" width="25.88671875" customWidth="1"/>
    <col min="7" max="7" width="18.44140625" customWidth="1"/>
    <col min="9" max="9" width="14.109375" customWidth="1"/>
    <col min="10" max="10" width="17.5546875" customWidth="1"/>
  </cols>
  <sheetData>
    <row r="1" spans="1:10" ht="15" thickBot="1"/>
    <row r="2" spans="1:10" ht="15.6">
      <c r="A2" s="210" t="s">
        <v>244</v>
      </c>
      <c r="B2" s="211" t="s">
        <v>83</v>
      </c>
      <c r="C2" s="211" t="s">
        <v>31</v>
      </c>
      <c r="D2" s="212" t="s">
        <v>247</v>
      </c>
      <c r="E2" s="217" t="s">
        <v>296</v>
      </c>
      <c r="F2" s="220" t="s">
        <v>307</v>
      </c>
      <c r="G2" s="219" t="s">
        <v>299</v>
      </c>
      <c r="H2" s="212" t="s">
        <v>245</v>
      </c>
      <c r="I2" s="213" t="s">
        <v>246</v>
      </c>
      <c r="J2" s="210" t="s">
        <v>81</v>
      </c>
    </row>
    <row r="3" spans="1:10">
      <c r="A3" s="214">
        <v>1</v>
      </c>
      <c r="B3" s="215" t="s">
        <v>342</v>
      </c>
      <c r="C3" s="215" t="s">
        <v>345</v>
      </c>
      <c r="D3" s="214">
        <v>12</v>
      </c>
      <c r="E3" s="218">
        <v>18101</v>
      </c>
      <c r="F3" s="221">
        <f>E3*D3</f>
        <v>217212</v>
      </c>
      <c r="G3" s="222">
        <f>H3/E3</f>
        <v>2.762278327164245E-2</v>
      </c>
      <c r="H3" s="214">
        <v>500</v>
      </c>
      <c r="I3" s="214">
        <v>19000</v>
      </c>
      <c r="J3" s="214">
        <f>D3*I3</f>
        <v>228000</v>
      </c>
    </row>
    <row r="4" spans="1:10">
      <c r="A4" s="214">
        <v>2</v>
      </c>
      <c r="B4" s="215" t="s">
        <v>343</v>
      </c>
      <c r="C4" s="215" t="s">
        <v>346</v>
      </c>
      <c r="D4" s="214">
        <v>12</v>
      </c>
      <c r="E4" s="218">
        <v>814</v>
      </c>
      <c r="F4" s="221">
        <f>E4*D4</f>
        <v>9768</v>
      </c>
      <c r="G4" s="222">
        <f t="shared" ref="G4:G15" si="0">H4/E4</f>
        <v>0.18427518427518427</v>
      </c>
      <c r="H4" s="214">
        <v>150</v>
      </c>
      <c r="I4" s="214">
        <v>1000</v>
      </c>
      <c r="J4" s="214">
        <f t="shared" ref="J4:J15" si="1">D4*I4</f>
        <v>12000</v>
      </c>
    </row>
    <row r="5" spans="1:10">
      <c r="A5" s="214">
        <v>3</v>
      </c>
      <c r="B5" s="215" t="s">
        <v>344</v>
      </c>
      <c r="C5" s="215" t="s">
        <v>346</v>
      </c>
      <c r="D5" s="214">
        <v>12</v>
      </c>
      <c r="E5" s="218">
        <v>814</v>
      </c>
      <c r="F5" s="221">
        <f>E5*D5</f>
        <v>9768</v>
      </c>
      <c r="G5" s="222">
        <f t="shared" si="0"/>
        <v>0.18427518427518427</v>
      </c>
      <c r="H5" s="214">
        <v>150</v>
      </c>
      <c r="I5" s="214">
        <v>1000</v>
      </c>
      <c r="J5" s="214">
        <f t="shared" si="1"/>
        <v>12000</v>
      </c>
    </row>
    <row r="6" spans="1:10">
      <c r="A6" s="214">
        <v>4</v>
      </c>
      <c r="B6" s="215" t="s">
        <v>420</v>
      </c>
      <c r="C6" s="215" t="s">
        <v>421</v>
      </c>
      <c r="D6" s="215">
        <v>16</v>
      </c>
      <c r="E6" s="214">
        <f>92+I22</f>
        <v>108.92</v>
      </c>
      <c r="F6" s="221">
        <f t="shared" ref="F6:F15" si="2">E6*D6</f>
        <v>1742.72</v>
      </c>
      <c r="G6" s="222">
        <f t="shared" si="0"/>
        <v>0.45905251560778554</v>
      </c>
      <c r="H6" s="214">
        <v>50</v>
      </c>
      <c r="I6" s="214">
        <v>150</v>
      </c>
      <c r="J6" s="214">
        <f t="shared" si="1"/>
        <v>2400</v>
      </c>
    </row>
    <row r="7" spans="1:10">
      <c r="A7" s="214">
        <v>5</v>
      </c>
      <c r="B7" s="215" t="s">
        <v>422</v>
      </c>
      <c r="C7" s="215" t="s">
        <v>423</v>
      </c>
      <c r="D7" s="215">
        <v>12</v>
      </c>
      <c r="E7" s="214">
        <f>45+8</f>
        <v>53</v>
      </c>
      <c r="F7" s="221">
        <f t="shared" si="2"/>
        <v>636</v>
      </c>
      <c r="G7" s="222">
        <f t="shared" si="0"/>
        <v>0.56603773584905659</v>
      </c>
      <c r="H7" s="214">
        <v>30</v>
      </c>
      <c r="I7" s="214">
        <v>100</v>
      </c>
      <c r="J7" s="214">
        <f t="shared" si="1"/>
        <v>1200</v>
      </c>
    </row>
    <row r="8" spans="1:10">
      <c r="A8" s="214">
        <v>6</v>
      </c>
      <c r="B8" s="215" t="s">
        <v>424</v>
      </c>
      <c r="C8" s="215" t="s">
        <v>434</v>
      </c>
      <c r="D8" s="215">
        <v>3</v>
      </c>
      <c r="E8" s="214">
        <f>216+I22</f>
        <v>232.92</v>
      </c>
      <c r="F8" s="221">
        <f t="shared" si="2"/>
        <v>698.76</v>
      </c>
      <c r="G8" s="222">
        <f t="shared" si="0"/>
        <v>0.42933195947106306</v>
      </c>
      <c r="H8" s="214">
        <v>100</v>
      </c>
      <c r="I8" s="214">
        <v>300</v>
      </c>
      <c r="J8" s="214">
        <f t="shared" si="1"/>
        <v>900</v>
      </c>
    </row>
    <row r="9" spans="1:10">
      <c r="A9" s="214">
        <v>7</v>
      </c>
      <c r="B9" s="215" t="s">
        <v>425</v>
      </c>
      <c r="C9" s="215" t="s">
        <v>435</v>
      </c>
      <c r="D9" s="215">
        <v>3</v>
      </c>
      <c r="E9" s="214">
        <f>239+I22</f>
        <v>255.92</v>
      </c>
      <c r="F9" s="221">
        <f t="shared" si="2"/>
        <v>767.76</v>
      </c>
      <c r="G9" s="222">
        <f t="shared" si="0"/>
        <v>0.48843388558924666</v>
      </c>
      <c r="H9" s="214">
        <v>125</v>
      </c>
      <c r="I9" s="214">
        <v>350</v>
      </c>
      <c r="J9" s="214">
        <f t="shared" si="1"/>
        <v>1050</v>
      </c>
    </row>
    <row r="10" spans="1:10">
      <c r="A10" s="214">
        <v>8</v>
      </c>
      <c r="B10" s="215" t="s">
        <v>426</v>
      </c>
      <c r="C10" s="215" t="s">
        <v>428</v>
      </c>
      <c r="D10" s="215">
        <v>3</v>
      </c>
      <c r="E10" s="214">
        <f>225+I22</f>
        <v>241.92</v>
      </c>
      <c r="F10" s="221">
        <f t="shared" si="2"/>
        <v>725.76</v>
      </c>
      <c r="G10" s="222">
        <f t="shared" si="0"/>
        <v>0.51669973544973546</v>
      </c>
      <c r="H10" s="214">
        <v>125</v>
      </c>
      <c r="I10" s="214">
        <v>350</v>
      </c>
      <c r="J10" s="214">
        <f t="shared" si="1"/>
        <v>1050</v>
      </c>
    </row>
    <row r="11" spans="1:10">
      <c r="A11" s="214">
        <v>9</v>
      </c>
      <c r="B11" s="215" t="s">
        <v>427</v>
      </c>
      <c r="C11" s="215" t="s">
        <v>433</v>
      </c>
      <c r="D11" s="215">
        <v>3</v>
      </c>
      <c r="E11" s="214">
        <f>144+I22</f>
        <v>160.91999999999999</v>
      </c>
      <c r="F11" s="221">
        <f t="shared" si="2"/>
        <v>482.76</v>
      </c>
      <c r="G11" s="222">
        <f t="shared" si="0"/>
        <v>0.6214267959234403</v>
      </c>
      <c r="H11" s="214">
        <v>100</v>
      </c>
      <c r="I11" s="214">
        <v>300</v>
      </c>
      <c r="J11" s="214">
        <f t="shared" si="1"/>
        <v>900</v>
      </c>
    </row>
    <row r="12" spans="1:10">
      <c r="A12" s="214">
        <v>10</v>
      </c>
      <c r="B12" s="215" t="s">
        <v>429</v>
      </c>
      <c r="C12" s="215" t="s">
        <v>430</v>
      </c>
      <c r="D12" s="215">
        <v>3</v>
      </c>
      <c r="E12" s="214">
        <f>2115+I22</f>
        <v>2131.92</v>
      </c>
      <c r="F12" s="221">
        <f t="shared" si="2"/>
        <v>6395.76</v>
      </c>
      <c r="G12" s="222">
        <f t="shared" si="0"/>
        <v>0.32834252692408722</v>
      </c>
      <c r="H12" s="214">
        <v>700</v>
      </c>
      <c r="I12" s="214">
        <v>3000</v>
      </c>
      <c r="J12" s="214">
        <f t="shared" si="1"/>
        <v>9000</v>
      </c>
    </row>
    <row r="13" spans="1:10">
      <c r="A13" s="214">
        <v>11</v>
      </c>
      <c r="B13" s="215" t="s">
        <v>431</v>
      </c>
      <c r="C13" s="215" t="s">
        <v>432</v>
      </c>
      <c r="D13" s="215">
        <v>4</v>
      </c>
      <c r="E13" s="214">
        <f>2430+I22</f>
        <v>2446.92</v>
      </c>
      <c r="F13" s="221">
        <f t="shared" si="2"/>
        <v>9787.68</v>
      </c>
      <c r="G13" s="222">
        <f t="shared" si="0"/>
        <v>0.28607392150131594</v>
      </c>
      <c r="H13" s="214">
        <v>700</v>
      </c>
      <c r="I13" s="214">
        <v>3500</v>
      </c>
      <c r="J13" s="214">
        <f t="shared" si="1"/>
        <v>14000</v>
      </c>
    </row>
    <row r="14" spans="1:10">
      <c r="A14" s="214">
        <v>12</v>
      </c>
      <c r="B14" s="215" t="s">
        <v>436</v>
      </c>
      <c r="C14" s="215" t="s">
        <v>437</v>
      </c>
      <c r="D14" s="215">
        <v>4</v>
      </c>
      <c r="E14" s="214">
        <f>94+I22</f>
        <v>110.92</v>
      </c>
      <c r="F14" s="221">
        <f t="shared" si="2"/>
        <v>443.68</v>
      </c>
      <c r="G14" s="222">
        <f t="shared" si="0"/>
        <v>0.90155066714749366</v>
      </c>
      <c r="H14" s="214">
        <v>100</v>
      </c>
      <c r="I14" s="214">
        <v>500</v>
      </c>
      <c r="J14" s="214">
        <f t="shared" si="1"/>
        <v>2000</v>
      </c>
    </row>
    <row r="15" spans="1:10">
      <c r="A15" s="214">
        <v>13</v>
      </c>
      <c r="B15" s="215" t="s">
        <v>438</v>
      </c>
      <c r="C15" s="215" t="s">
        <v>439</v>
      </c>
      <c r="D15" s="214">
        <v>50</v>
      </c>
      <c r="E15" s="214"/>
      <c r="F15" s="221">
        <f t="shared" si="2"/>
        <v>0</v>
      </c>
      <c r="G15" s="222" t="e">
        <f t="shared" si="0"/>
        <v>#DIV/0!</v>
      </c>
      <c r="H15" s="214">
        <v>20</v>
      </c>
      <c r="I15" s="214">
        <v>100</v>
      </c>
      <c r="J15" s="214">
        <f t="shared" si="1"/>
        <v>5000</v>
      </c>
    </row>
    <row r="16" spans="1:10">
      <c r="A16" s="214"/>
      <c r="B16" s="317"/>
      <c r="C16" s="317"/>
      <c r="D16" s="317"/>
      <c r="E16" s="317"/>
      <c r="F16" s="318">
        <f>SUM(F3:F15)</f>
        <v>258428.88000000003</v>
      </c>
      <c r="G16" s="317"/>
      <c r="H16" s="317"/>
      <c r="I16" s="317"/>
      <c r="J16" s="216">
        <f>SUM(J3:J15)</f>
        <v>289500</v>
      </c>
    </row>
    <row r="22" spans="9:9">
      <c r="I22">
        <f>94*18%</f>
        <v>16.919999999999998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93A4-6B9D-46B5-A738-B27168C2F891}">
  <dimension ref="A1:J2"/>
  <sheetViews>
    <sheetView workbookViewId="0">
      <selection activeCell="F14" sqref="F14"/>
    </sheetView>
  </sheetViews>
  <sheetFormatPr defaultRowHeight="14.4"/>
  <cols>
    <col min="2" max="2" width="12.21875" customWidth="1"/>
    <col min="3" max="3" width="44.44140625" customWidth="1"/>
    <col min="4" max="4" width="15.5546875" customWidth="1"/>
    <col min="5" max="5" width="18" customWidth="1"/>
    <col min="6" max="6" width="28.44140625" customWidth="1"/>
    <col min="7" max="7" width="12.6640625" customWidth="1"/>
    <col min="9" max="9" width="13.33203125" customWidth="1"/>
  </cols>
  <sheetData>
    <row r="1" spans="1:10" ht="15.6">
      <c r="A1" s="164" t="s">
        <v>244</v>
      </c>
      <c r="B1" s="165" t="s">
        <v>83</v>
      </c>
      <c r="C1" s="165" t="s">
        <v>31</v>
      </c>
      <c r="D1" s="166" t="s">
        <v>247</v>
      </c>
      <c r="E1" s="114" t="s">
        <v>296</v>
      </c>
      <c r="F1" s="117" t="s">
        <v>307</v>
      </c>
      <c r="G1" s="167" t="s">
        <v>299</v>
      </c>
      <c r="H1" s="166" t="s">
        <v>245</v>
      </c>
      <c r="I1" s="168" t="s">
        <v>246</v>
      </c>
      <c r="J1" s="164" t="s">
        <v>81</v>
      </c>
    </row>
    <row r="2" spans="1:10" ht="15.6">
      <c r="A2" s="214">
        <v>1</v>
      </c>
      <c r="B2" s="98" t="s">
        <v>383</v>
      </c>
      <c r="C2" s="96" t="s">
        <v>384</v>
      </c>
      <c r="D2" s="214">
        <v>2</v>
      </c>
      <c r="E2" s="214">
        <v>1700</v>
      </c>
      <c r="F2" s="214">
        <f>E2*D2</f>
        <v>3400</v>
      </c>
      <c r="G2" s="245">
        <f>H2/E2</f>
        <v>0.35294117647058826</v>
      </c>
      <c r="H2" s="214">
        <v>600</v>
      </c>
      <c r="I2" s="214">
        <v>3500</v>
      </c>
      <c r="J2" s="214">
        <f>D2*I2</f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Sumurry of ccg value</vt:lpstr>
      <vt:lpstr>Mono Portions Artevo </vt:lpstr>
      <vt:lpstr>Glassware </vt:lpstr>
      <vt:lpstr>Baroque </vt:lpstr>
      <vt:lpstr>Platters &amp; Bowls</vt:lpstr>
      <vt:lpstr>Mettal ware for Buffet </vt:lpstr>
      <vt:lpstr>Cake stands and charile </vt:lpstr>
      <vt:lpstr>mirrorware for buffets </vt:lpstr>
      <vt:lpstr>Plates </vt:lpstr>
      <vt:lpstr>Cutlury </vt:lpstr>
      <vt:lpstr>Others Equpments </vt:lpstr>
      <vt:lpstr>Tea and coffee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Chhabria</dc:creator>
  <cp:lastModifiedBy>Switch Rental</cp:lastModifiedBy>
  <dcterms:created xsi:type="dcterms:W3CDTF">2025-02-07T10:51:19Z</dcterms:created>
  <dcterms:modified xsi:type="dcterms:W3CDTF">2025-06-02T09:50:06Z</dcterms:modified>
</cp:coreProperties>
</file>