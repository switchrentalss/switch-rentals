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0758aebf08b37535/Switch Final sheet 2025 NEW/Forecast ^0 Capex/"/>
    </mc:Choice>
  </mc:AlternateContent>
  <xr:revisionPtr revIDLastSave="27" documentId="13_ncr:1_{DED71F02-6B89-4BED-A2F3-32DF7C022648}" xr6:coauthVersionLast="47" xr6:coauthVersionMax="47" xr10:uidLastSave="{B49788FA-AEE5-46F6-BE1D-4B3BD381EA2C}"/>
  <bookViews>
    <workbookView xWindow="-108" yWindow="-108" windowWidth="23256" windowHeight="12456" firstSheet="2" activeTab="5" xr2:uid="{5AE85067-2410-49C6-8493-F00CF50707AF}"/>
  </bookViews>
  <sheets>
    <sheet name="capex and accounts summary " sheetId="28" r:id="rId1"/>
    <sheet name="KARAN CAPEX AS PER BANK" sheetId="33" r:id="rId2"/>
    <sheet name="SAMIR CAPEX AS PER BANK" sheetId="34" r:id="rId3"/>
    <sheet name="Accounts against capex" sheetId="25" r:id="rId4"/>
    <sheet name="PnL Jan 25 to Mar 26" sheetId="29" r:id="rId5"/>
    <sheet name="Cashflow " sheetId="30" r:id="rId6"/>
    <sheet name="Rev Day wise break up " sheetId="31" r:id="rId7"/>
    <sheet name="Sal and fix working cap cost " sheetId="23" r:id="rId8"/>
  </sheets>
  <externalReferences>
    <externalReference r:id="rId9"/>
    <externalReference r:id="rId10"/>
    <externalReference r:id="rId11"/>
  </externalReferences>
  <definedNames>
    <definedName name="Cash_Minimum">'[1]Cash flow forecast'!$J$4</definedName>
    <definedName name="Start_D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30" l="1"/>
  <c r="G20" i="30"/>
  <c r="G10" i="30"/>
  <c r="G5" i="30"/>
  <c r="G24" i="30"/>
  <c r="F6" i="30"/>
  <c r="F5" i="30"/>
  <c r="E15" i="30"/>
  <c r="F4" i="30"/>
  <c r="D3" i="31" l="1"/>
  <c r="E3" i="31"/>
  <c r="E15" i="31" s="1"/>
  <c r="F42" i="29"/>
  <c r="P6" i="29"/>
  <c r="O6" i="29"/>
  <c r="M6" i="29"/>
  <c r="L6" i="29"/>
  <c r="K6" i="29"/>
  <c r="J6" i="29"/>
  <c r="I6" i="29"/>
  <c r="H6" i="29"/>
  <c r="F11" i="29"/>
  <c r="F8" i="29"/>
  <c r="F7" i="29"/>
  <c r="F6" i="29"/>
  <c r="D2" i="28" l="1"/>
  <c r="F7" i="30"/>
  <c r="G18" i="29"/>
  <c r="F30" i="29"/>
  <c r="F36" i="30"/>
  <c r="G8" i="29"/>
  <c r="E2" i="31" l="1"/>
  <c r="G7" i="29"/>
  <c r="G63" i="29" l="1"/>
  <c r="J5" i="28"/>
  <c r="D64" i="29"/>
  <c r="E64" i="29"/>
  <c r="F64" i="29"/>
  <c r="G64" i="29"/>
  <c r="H64" i="29"/>
  <c r="I64" i="29"/>
  <c r="J64" i="29"/>
  <c r="K64" i="29"/>
  <c r="L64" i="29"/>
  <c r="M64" i="29"/>
  <c r="N64" i="29"/>
  <c r="O64" i="29"/>
  <c r="F47" i="30" l="1"/>
  <c r="F39" i="30"/>
  <c r="Q63" i="29"/>
  <c r="F18" i="29"/>
  <c r="E18" i="29" l="1"/>
  <c r="H18" i="29"/>
  <c r="I18" i="29"/>
  <c r="J18" i="29"/>
  <c r="K18" i="29"/>
  <c r="L18" i="29"/>
  <c r="M18" i="29"/>
  <c r="N18" i="29"/>
  <c r="O18" i="29"/>
  <c r="P18" i="29"/>
  <c r="D18" i="29"/>
  <c r="H19" i="29"/>
  <c r="I19" i="29"/>
  <c r="J19" i="29"/>
  <c r="K19" i="29"/>
  <c r="L19" i="29"/>
  <c r="M19" i="29"/>
  <c r="N19" i="29"/>
  <c r="O19" i="29"/>
  <c r="P19" i="29"/>
  <c r="E42" i="29"/>
  <c r="D3" i="28"/>
  <c r="E11" i="29"/>
  <c r="E8" i="29"/>
  <c r="E7" i="29"/>
  <c r="E6" i="29"/>
  <c r="D11" i="29"/>
  <c r="D8" i="29"/>
  <c r="D7" i="29"/>
  <c r="D6" i="29"/>
  <c r="C8" i="29"/>
  <c r="C7" i="29"/>
  <c r="C6" i="29"/>
  <c r="D10" i="29" l="1"/>
  <c r="F35" i="30" l="1"/>
  <c r="J10" i="28" l="1"/>
  <c r="G40" i="30"/>
  <c r="G50" i="30" s="1"/>
  <c r="G21" i="30"/>
  <c r="G30" i="30" l="1"/>
  <c r="G51" i="30" l="1"/>
  <c r="G9" i="30"/>
  <c r="G11" i="30" s="1"/>
  <c r="E35" i="30"/>
  <c r="E77" i="30"/>
  <c r="D2" i="31"/>
  <c r="B52" i="29"/>
  <c r="C52" i="29"/>
  <c r="D52" i="29"/>
  <c r="E52" i="29"/>
  <c r="F52" i="29"/>
  <c r="G52" i="29"/>
  <c r="H52" i="29"/>
  <c r="I52" i="29"/>
  <c r="J52" i="29"/>
  <c r="K52" i="29"/>
  <c r="L52" i="29"/>
  <c r="M52" i="29"/>
  <c r="N52" i="29"/>
  <c r="O52" i="29"/>
  <c r="P52" i="29"/>
  <c r="D45" i="29"/>
  <c r="E45" i="29"/>
  <c r="F45" i="29"/>
  <c r="G45" i="29"/>
  <c r="H45" i="29"/>
  <c r="I45" i="29"/>
  <c r="J45" i="29"/>
  <c r="K45" i="29"/>
  <c r="L45" i="29"/>
  <c r="M45" i="29"/>
  <c r="N45" i="29"/>
  <c r="D35" i="29"/>
  <c r="E35" i="29"/>
  <c r="F35" i="29"/>
  <c r="G35" i="29"/>
  <c r="H35" i="29"/>
  <c r="I35" i="29"/>
  <c r="J35" i="29"/>
  <c r="K35" i="29"/>
  <c r="L35" i="29"/>
  <c r="M35" i="29"/>
  <c r="N35" i="29"/>
  <c r="O35" i="29"/>
  <c r="P35" i="29"/>
  <c r="B25" i="29"/>
  <c r="C25" i="29"/>
  <c r="D25" i="29"/>
  <c r="E25" i="29"/>
  <c r="F25" i="29"/>
  <c r="G25" i="29"/>
  <c r="H25" i="29"/>
  <c r="I25" i="29"/>
  <c r="J25" i="29"/>
  <c r="K25" i="29"/>
  <c r="G13" i="30" l="1"/>
  <c r="D42" i="25"/>
  <c r="D20" i="25"/>
  <c r="E29" i="30"/>
  <c r="H80" i="30"/>
  <c r="E88" i="30"/>
  <c r="E34" i="30"/>
  <c r="E39" i="30"/>
  <c r="H78" i="30"/>
  <c r="E78" i="30"/>
  <c r="F76" i="30" s="1"/>
  <c r="E83" i="30"/>
  <c r="H83" i="30" s="1"/>
  <c r="H87" i="30" l="1"/>
  <c r="E91" i="30"/>
  <c r="H91" i="30"/>
  <c r="H92" i="30"/>
  <c r="F91" i="30" s="1"/>
  <c r="H81" i="30"/>
  <c r="E47" i="30"/>
  <c r="E50" i="30" s="1"/>
  <c r="E6" i="30"/>
  <c r="F92" i="30" l="1"/>
  <c r="H93" i="30"/>
  <c r="E7" i="30"/>
  <c r="Q5" i="29" l="1"/>
  <c r="F20" i="30" l="1"/>
  <c r="F40" i="30"/>
  <c r="F50" i="30" s="1"/>
  <c r="F21" i="30"/>
  <c r="F30" i="30" l="1"/>
  <c r="F51" i="30" s="1"/>
  <c r="E13" i="30"/>
  <c r="F11" i="30" l="1"/>
  <c r="F12" i="30" s="1"/>
  <c r="F10" i="30"/>
  <c r="F9" i="30"/>
  <c r="C20" i="30"/>
  <c r="D30" i="30"/>
  <c r="D44" i="30"/>
  <c r="C5" i="30"/>
  <c r="C40" i="30"/>
  <c r="B40" i="30"/>
  <c r="B30" i="30" s="1"/>
  <c r="B9" i="30" s="1"/>
  <c r="B8" i="30"/>
  <c r="F13" i="30" l="1"/>
  <c r="E21" i="30"/>
  <c r="P15" i="29" l="1"/>
  <c r="P25" i="29" s="1"/>
  <c r="O15" i="29"/>
  <c r="O25" i="29" s="1"/>
  <c r="N15" i="29"/>
  <c r="N25" i="29" s="1"/>
  <c r="M15" i="29"/>
  <c r="M25" i="29" s="1"/>
  <c r="L15" i="29"/>
  <c r="L25" i="29" s="1"/>
  <c r="Q15" i="29" l="1"/>
  <c r="D7" i="30"/>
  <c r="E20" i="30"/>
  <c r="E30" i="30" s="1"/>
  <c r="E12" i="30" s="1"/>
  <c r="B14" i="31"/>
  <c r="D65" i="29"/>
  <c r="B41" i="29"/>
  <c r="B45" i="29" s="1"/>
  <c r="C41" i="29"/>
  <c r="C45" i="29" s="1"/>
  <c r="C10" i="29"/>
  <c r="B6" i="29"/>
  <c r="B11" i="29"/>
  <c r="B8" i="29"/>
  <c r="C44" i="30" l="1"/>
  <c r="C35" i="29"/>
  <c r="C54" i="29" s="1"/>
  <c r="C55" i="29" s="1"/>
  <c r="B44" i="30"/>
  <c r="B50" i="30" s="1"/>
  <c r="B10" i="30" s="1"/>
  <c r="B11" i="30" s="1"/>
  <c r="B12" i="30" s="1"/>
  <c r="B14" i="30" s="1"/>
  <c r="C4" i="30" s="1"/>
  <c r="B35" i="29"/>
  <c r="C11" i="29"/>
  <c r="C12" i="29" s="1"/>
  <c r="C53" i="29"/>
  <c r="B10" i="29"/>
  <c r="B46" i="29" s="1"/>
  <c r="D26" i="29"/>
  <c r="D54" i="29"/>
  <c r="D55" i="29" s="1"/>
  <c r="B18" i="23"/>
  <c r="F18" i="23"/>
  <c r="F19" i="23"/>
  <c r="E19" i="23"/>
  <c r="F17" i="23"/>
  <c r="C18" i="23"/>
  <c r="C17" i="23"/>
  <c r="D17" i="23"/>
  <c r="D25" i="23" s="1"/>
  <c r="E17" i="23"/>
  <c r="B17" i="23"/>
  <c r="C25" i="23" l="1"/>
  <c r="B51" i="30"/>
  <c r="C36" i="29"/>
  <c r="C46" i="29"/>
  <c r="C26" i="29"/>
  <c r="B26" i="29"/>
  <c r="B12" i="29"/>
  <c r="B36" i="29"/>
  <c r="B53" i="29"/>
  <c r="D53" i="29"/>
  <c r="D46" i="29"/>
  <c r="D36" i="29"/>
  <c r="D12" i="29"/>
  <c r="C57" i="29"/>
  <c r="C58" i="29" s="1"/>
  <c r="D57" i="29"/>
  <c r="D58" i="29" s="1"/>
  <c r="B25" i="23"/>
  <c r="F25" i="23"/>
  <c r="E25" i="23"/>
  <c r="B54" i="29" l="1"/>
  <c r="B57" i="29" s="1"/>
  <c r="B58" i="29" s="1"/>
  <c r="B9" i="28"/>
  <c r="B55" i="29" l="1"/>
  <c r="D50" i="30"/>
  <c r="C58" i="25"/>
  <c r="D58" i="25" s="1"/>
  <c r="D10" i="30" l="1"/>
  <c r="D51" i="30"/>
  <c r="Q17" i="29"/>
  <c r="Q38" i="29"/>
  <c r="C57" i="25"/>
  <c r="C47" i="25"/>
  <c r="D47" i="25" s="1"/>
  <c r="I10" i="28"/>
  <c r="I11" i="28" s="1"/>
  <c r="C14" i="28" s="1"/>
  <c r="B14" i="28" l="1"/>
  <c r="C15" i="28" s="1"/>
  <c r="C64" i="29" s="1"/>
  <c r="C25" i="30" l="1"/>
  <c r="D52" i="25" l="1"/>
  <c r="E52" i="25" s="1"/>
  <c r="E51" i="25"/>
  <c r="E51" i="30" l="1"/>
  <c r="E10" i="30"/>
  <c r="E9" i="30"/>
  <c r="E20" i="25"/>
  <c r="C50" i="30"/>
  <c r="C10" i="30" s="1"/>
  <c r="D9" i="30"/>
  <c r="D11" i="30" s="1"/>
  <c r="D12" i="30" s="1"/>
  <c r="E11" i="30" l="1"/>
  <c r="C23" i="30"/>
  <c r="C30" i="30" s="1"/>
  <c r="C9" i="30" l="1"/>
  <c r="C11" i="30" s="1"/>
  <c r="C12" i="30" s="1"/>
  <c r="C51" i="30"/>
  <c r="F8" i="23" l="1"/>
  <c r="Q20" i="29"/>
  <c r="Q21" i="29"/>
  <c r="Q23" i="29"/>
  <c r="Q24" i="29"/>
  <c r="Q28" i="29"/>
  <c r="Q29" i="29"/>
  <c r="Q31" i="29"/>
  <c r="Q41" i="29"/>
  <c r="Q32" i="29"/>
  <c r="Q34" i="29"/>
  <c r="Q39" i="29"/>
  <c r="Q40" i="29"/>
  <c r="Q43" i="29"/>
  <c r="Q44" i="29"/>
  <c r="Q48" i="29"/>
  <c r="Q49" i="29"/>
  <c r="Q50" i="29"/>
  <c r="Q51" i="29"/>
  <c r="Q60" i="29"/>
  <c r="Q61" i="29"/>
  <c r="Q62" i="29"/>
  <c r="Q65" i="29"/>
  <c r="O4" i="29"/>
  <c r="M2" i="31" s="1"/>
  <c r="F4" i="29"/>
  <c r="G4" i="29"/>
  <c r="H4" i="29"/>
  <c r="F2" i="31" s="1"/>
  <c r="I4" i="29"/>
  <c r="G2" i="31" s="1"/>
  <c r="J4" i="29"/>
  <c r="H2" i="31" s="1"/>
  <c r="K4" i="29"/>
  <c r="I2" i="31" s="1"/>
  <c r="L4" i="29"/>
  <c r="J2" i="31" s="1"/>
  <c r="M4" i="29"/>
  <c r="K2" i="31" s="1"/>
  <c r="N4" i="29"/>
  <c r="N6" i="29" s="1"/>
  <c r="L2" i="31" s="1"/>
  <c r="P4" i="29"/>
  <c r="N2" i="31" s="1"/>
  <c r="E4" i="29"/>
  <c r="C18" i="25"/>
  <c r="M5" i="31" l="1"/>
  <c r="O8" i="29"/>
  <c r="O10" i="29" s="1"/>
  <c r="O11" i="29" s="1"/>
  <c r="O12" i="29" s="1"/>
  <c r="G5" i="31"/>
  <c r="I8" i="29"/>
  <c r="I10" i="29" s="1"/>
  <c r="I11" i="29" s="1"/>
  <c r="I12" i="29" s="1"/>
  <c r="N5" i="31"/>
  <c r="P8" i="29"/>
  <c r="P10" i="29" s="1"/>
  <c r="P11" i="29" s="1"/>
  <c r="P12" i="29" s="1"/>
  <c r="L5" i="31"/>
  <c r="N8" i="29"/>
  <c r="N10" i="29" s="1"/>
  <c r="N11" i="29" s="1"/>
  <c r="N12" i="29" s="1"/>
  <c r="K5" i="31"/>
  <c r="M8" i="29"/>
  <c r="M10" i="29" s="1"/>
  <c r="M11" i="29" s="1"/>
  <c r="M12" i="29" s="1"/>
  <c r="J5" i="31"/>
  <c r="L8" i="29"/>
  <c r="L10" i="29" s="1"/>
  <c r="H8" i="29"/>
  <c r="H10" i="29" s="1"/>
  <c r="H11" i="29" s="1"/>
  <c r="H12" i="29" s="1"/>
  <c r="F5" i="31"/>
  <c r="I5" i="31"/>
  <c r="K8" i="29"/>
  <c r="K10" i="29" s="1"/>
  <c r="K11" i="29" s="1"/>
  <c r="K12" i="29" s="1"/>
  <c r="H5" i="31"/>
  <c r="J8" i="29"/>
  <c r="J10" i="29" s="1"/>
  <c r="J11" i="29" s="1"/>
  <c r="J12" i="29" s="1"/>
  <c r="Q16" i="29"/>
  <c r="Q52" i="29"/>
  <c r="Q22" i="29"/>
  <c r="Q19" i="29"/>
  <c r="Q18" i="29"/>
  <c r="C9" i="25"/>
  <c r="D9" i="25" s="1"/>
  <c r="D18" i="25"/>
  <c r="E45" i="25"/>
  <c r="C55" i="25"/>
  <c r="E30" i="25"/>
  <c r="C41" i="25"/>
  <c r="C49" i="25"/>
  <c r="E59" i="25"/>
  <c r="E47" i="25"/>
  <c r="C43" i="25" l="1"/>
  <c r="B11" i="28" s="1"/>
  <c r="D41" i="25"/>
  <c r="E41" i="25" s="1"/>
  <c r="P53" i="29"/>
  <c r="K53" i="29"/>
  <c r="M53" i="29"/>
  <c r="J11" i="31"/>
  <c r="J7" i="31"/>
  <c r="J9" i="31"/>
  <c r="J12" i="31"/>
  <c r="J10" i="31"/>
  <c r="J8" i="31"/>
  <c r="K8" i="31"/>
  <c r="K7" i="31"/>
  <c r="K9" i="31"/>
  <c r="K12" i="31"/>
  <c r="K11" i="31"/>
  <c r="K10" i="31"/>
  <c r="H12" i="31"/>
  <c r="H8" i="31"/>
  <c r="H10" i="31"/>
  <c r="H7" i="31"/>
  <c r="H11" i="31"/>
  <c r="H9" i="31"/>
  <c r="N53" i="29"/>
  <c r="O53" i="29"/>
  <c r="M12" i="31"/>
  <c r="M10" i="31"/>
  <c r="M9" i="31"/>
  <c r="M8" i="31"/>
  <c r="M11" i="31"/>
  <c r="M7" i="31"/>
  <c r="F9" i="31"/>
  <c r="F7" i="31"/>
  <c r="F11" i="31"/>
  <c r="F10" i="31"/>
  <c r="F12" i="31"/>
  <c r="F8" i="31"/>
  <c r="G9" i="31"/>
  <c r="G8" i="31"/>
  <c r="G10" i="31"/>
  <c r="G7" i="31"/>
  <c r="G11" i="31"/>
  <c r="G12" i="31"/>
  <c r="H53" i="29"/>
  <c r="L10" i="31"/>
  <c r="L9" i="31"/>
  <c r="L8" i="31"/>
  <c r="L11" i="31"/>
  <c r="L7" i="31"/>
  <c r="L12" i="31"/>
  <c r="I10" i="31"/>
  <c r="I9" i="31"/>
  <c r="I11" i="31"/>
  <c r="I8" i="31"/>
  <c r="I12" i="31"/>
  <c r="I7" i="31"/>
  <c r="J53" i="29"/>
  <c r="L53" i="29"/>
  <c r="L11" i="29"/>
  <c r="L12" i="29" s="1"/>
  <c r="N11" i="31"/>
  <c r="N7" i="31"/>
  <c r="N12" i="31"/>
  <c r="N8" i="31"/>
  <c r="N9" i="31"/>
  <c r="N10" i="31"/>
  <c r="I53" i="29"/>
  <c r="D49" i="25"/>
  <c r="E49" i="25" s="1"/>
  <c r="Q25" i="29"/>
  <c r="D55" i="25"/>
  <c r="E55" i="25" s="1"/>
  <c r="D31" i="25"/>
  <c r="E31" i="25" s="1"/>
  <c r="C46" i="25"/>
  <c r="J14" i="31" l="1"/>
  <c r="N14" i="31"/>
  <c r="H14" i="31"/>
  <c r="G14" i="31"/>
  <c r="L14" i="31"/>
  <c r="F14" i="31"/>
  <c r="I14" i="31"/>
  <c r="K14" i="31"/>
  <c r="M14" i="31"/>
  <c r="C53" i="25"/>
  <c r="E54" i="29"/>
  <c r="E46" i="25"/>
  <c r="E48" i="25"/>
  <c r="D10" i="25"/>
  <c r="E10" i="25" s="1"/>
  <c r="D38" i="25"/>
  <c r="E38" i="25" s="1"/>
  <c r="E37" i="25"/>
  <c r="D56" i="25"/>
  <c r="E36" i="25"/>
  <c r="E35" i="25"/>
  <c r="C34" i="25"/>
  <c r="E34" i="25" s="1"/>
  <c r="E33" i="25"/>
  <c r="C32" i="25"/>
  <c r="E32" i="25" s="1"/>
  <c r="E29" i="25"/>
  <c r="E28" i="25"/>
  <c r="E27" i="25"/>
  <c r="E26" i="25"/>
  <c r="C25" i="25"/>
  <c r="D25" i="25" s="1"/>
  <c r="E25" i="25" s="1"/>
  <c r="E24" i="25"/>
  <c r="E23" i="25"/>
  <c r="E22" i="25"/>
  <c r="C21" i="25"/>
  <c r="E19" i="25"/>
  <c r="E17" i="25"/>
  <c r="E14" i="25"/>
  <c r="E13" i="25"/>
  <c r="E12" i="25"/>
  <c r="E11" i="25"/>
  <c r="E9" i="25"/>
  <c r="E8" i="25"/>
  <c r="E7" i="25"/>
  <c r="D6" i="25"/>
  <c r="C5" i="25"/>
  <c r="C15" i="25" s="1"/>
  <c r="E4" i="25"/>
  <c r="E3" i="25"/>
  <c r="E2" i="25"/>
  <c r="F54" i="29" l="1"/>
  <c r="B12" i="28"/>
  <c r="E56" i="25"/>
  <c r="E53" i="25"/>
  <c r="G54" i="29"/>
  <c r="E42" i="25"/>
  <c r="D43" i="25"/>
  <c r="E21" i="25"/>
  <c r="C39" i="25"/>
  <c r="B10" i="28" s="1"/>
  <c r="D15" i="25"/>
  <c r="B8" i="28" s="1"/>
  <c r="D39" i="25"/>
  <c r="E5" i="25"/>
  <c r="E18" i="25"/>
  <c r="E6" i="25"/>
  <c r="H36" i="29" l="1"/>
  <c r="H46" i="29"/>
  <c r="H26" i="29"/>
  <c r="E43" i="25"/>
  <c r="E15" i="25"/>
  <c r="E61" i="25"/>
  <c r="E39" i="25"/>
  <c r="H54" i="29" l="1"/>
  <c r="H55" i="29" s="1"/>
  <c r="I46" i="29"/>
  <c r="I26" i="29"/>
  <c r="I36" i="29"/>
  <c r="E62" i="25"/>
  <c r="H57" i="29" l="1"/>
  <c r="H58" i="29" s="1"/>
  <c r="I54" i="29"/>
  <c r="I55" i="29" s="1"/>
  <c r="J46" i="29"/>
  <c r="J26" i="29"/>
  <c r="J36" i="29"/>
  <c r="I57" i="29" l="1"/>
  <c r="I58" i="29" s="1"/>
  <c r="K36" i="29"/>
  <c r="K46" i="29"/>
  <c r="K26" i="29"/>
  <c r="J54" i="29"/>
  <c r="J55" i="29" s="1"/>
  <c r="K54" i="29" l="1"/>
  <c r="K55" i="29" s="1"/>
  <c r="J57" i="29"/>
  <c r="J58" i="29" s="1"/>
  <c r="K57" i="29" l="1"/>
  <c r="K58" i="29" s="1"/>
  <c r="M46" i="29"/>
  <c r="M26" i="29"/>
  <c r="M36" i="29"/>
  <c r="O42" i="29" l="1"/>
  <c r="O45" i="29" s="1"/>
  <c r="L36" i="29"/>
  <c r="L26" i="29"/>
  <c r="M54" i="29"/>
  <c r="M55" i="29" s="1"/>
  <c r="N46" i="29"/>
  <c r="N26" i="29"/>
  <c r="N36" i="29"/>
  <c r="B11" i="23"/>
  <c r="E9" i="23"/>
  <c r="F7" i="23"/>
  <c r="M57" i="29" l="1"/>
  <c r="M58" i="29" s="1"/>
  <c r="O46" i="29"/>
  <c r="O26" i="29"/>
  <c r="O36" i="29"/>
  <c r="N54" i="29"/>
  <c r="N55" i="29" s="1"/>
  <c r="E11" i="23"/>
  <c r="F10" i="23"/>
  <c r="B9" i="23"/>
  <c r="F11" i="23" l="1"/>
  <c r="L54" i="29"/>
  <c r="L55" i="29" s="1"/>
  <c r="L46" i="29"/>
  <c r="Q35" i="29"/>
  <c r="Q33" i="29"/>
  <c r="O54" i="29"/>
  <c r="O55" i="29" s="1"/>
  <c r="N57" i="29"/>
  <c r="N58" i="29" s="1"/>
  <c r="F9" i="23"/>
  <c r="E12" i="23"/>
  <c r="P26" i="29" l="1"/>
  <c r="P42" i="29"/>
  <c r="O57" i="29"/>
  <c r="O58" i="29" s="1"/>
  <c r="P36" i="29"/>
  <c r="L57" i="29"/>
  <c r="L58" i="29" s="1"/>
  <c r="C61" i="25"/>
  <c r="F12" i="23"/>
  <c r="B14" i="23" s="1"/>
  <c r="P45" i="29" l="1"/>
  <c r="P46" i="29" s="1"/>
  <c r="B13" i="28"/>
  <c r="C62" i="25"/>
  <c r="Q42" i="29"/>
  <c r="Q45" i="29"/>
  <c r="P54" i="29"/>
  <c r="P55" i="29" s="1"/>
  <c r="D50" i="25"/>
  <c r="D53" i="25" s="1"/>
  <c r="Q54" i="29" l="1"/>
  <c r="P57" i="29"/>
  <c r="P58" i="29" s="1"/>
  <c r="B15" i="28"/>
  <c r="B64" i="29" s="1"/>
  <c r="D61" i="25"/>
  <c r="B1" i="28" l="1"/>
  <c r="C3" i="28"/>
  <c r="D62" i="25"/>
  <c r="E3" i="28" l="1"/>
  <c r="F3" i="28"/>
  <c r="C2" i="28"/>
  <c r="F2" i="28" s="1"/>
  <c r="C4" i="28" l="1"/>
  <c r="P64" i="29" s="1"/>
  <c r="I66" i="29" l="1"/>
  <c r="I67" i="29" s="1"/>
  <c r="O66" i="29"/>
  <c r="O67" i="29" s="1"/>
  <c r="F66" i="29"/>
  <c r="K66" i="29"/>
  <c r="K67" i="29" s="1"/>
  <c r="B66" i="29"/>
  <c r="P66" i="29"/>
  <c r="P67" i="29" s="1"/>
  <c r="H66" i="29"/>
  <c r="H67" i="29" s="1"/>
  <c r="G66" i="29"/>
  <c r="N66" i="29"/>
  <c r="N67" i="29" s="1"/>
  <c r="M66" i="29"/>
  <c r="M67" i="29" s="1"/>
  <c r="L66" i="29"/>
  <c r="L67" i="29" s="1"/>
  <c r="J66" i="29"/>
  <c r="J67" i="29" s="1"/>
  <c r="G69" i="29" l="1"/>
  <c r="O69" i="29"/>
  <c r="H69" i="29"/>
  <c r="I69" i="29"/>
  <c r="P69" i="29"/>
  <c r="J69" i="29"/>
  <c r="B67" i="29"/>
  <c r="B69" i="29"/>
  <c r="K69" i="29"/>
  <c r="L69" i="29"/>
  <c r="M69" i="29"/>
  <c r="Q64" i="29"/>
  <c r="E66" i="29"/>
  <c r="N69" i="29"/>
  <c r="F69" i="29"/>
  <c r="E2" i="28"/>
  <c r="E4" i="28" s="1"/>
  <c r="D66" i="29" s="1"/>
  <c r="D67" i="29" s="1"/>
  <c r="D69" i="29" l="1"/>
  <c r="D71" i="29" s="1"/>
  <c r="D72" i="29" s="1"/>
  <c r="B70" i="29"/>
  <c r="B71" i="29"/>
  <c r="B72" i="29" s="1"/>
  <c r="N70" i="29"/>
  <c r="N71" i="29"/>
  <c r="N72" i="29" s="1"/>
  <c r="J70" i="29"/>
  <c r="J71" i="29"/>
  <c r="J72" i="29" s="1"/>
  <c r="M71" i="29"/>
  <c r="M72" i="29" s="1"/>
  <c r="M70" i="29"/>
  <c r="I70" i="29"/>
  <c r="I71" i="29"/>
  <c r="I72" i="29" s="1"/>
  <c r="H71" i="29"/>
  <c r="H72" i="29" s="1"/>
  <c r="H70" i="29"/>
  <c r="L70" i="29"/>
  <c r="L71" i="29"/>
  <c r="L72" i="29" s="1"/>
  <c r="O70" i="29"/>
  <c r="O71" i="29"/>
  <c r="O72" i="29" s="1"/>
  <c r="E69" i="29"/>
  <c r="K70" i="29"/>
  <c r="K71" i="29"/>
  <c r="K72" i="29" s="1"/>
  <c r="P71" i="29"/>
  <c r="P72" i="29" s="1"/>
  <c r="P70" i="29"/>
  <c r="D4" i="28"/>
  <c r="C66" i="29" s="1"/>
  <c r="C67" i="29" s="1"/>
  <c r="Q66" i="29" l="1"/>
  <c r="D70" i="29"/>
  <c r="C69" i="29"/>
  <c r="Q69" i="29"/>
  <c r="C71" i="29" l="1"/>
  <c r="C72" i="29" s="1"/>
  <c r="C70" i="29"/>
  <c r="C8" i="30"/>
  <c r="D4" i="30" l="1"/>
  <c r="D8" i="30" s="1"/>
  <c r="D14" i="30" s="1"/>
  <c r="E4" i="30" s="1"/>
  <c r="C14" i="30"/>
  <c r="G4" i="30" l="1"/>
  <c r="G8" i="30" l="1"/>
  <c r="E57" i="29"/>
  <c r="E70" i="29"/>
  <c r="E71" i="29"/>
  <c r="G14" i="30" l="1"/>
  <c r="E10" i="29"/>
  <c r="C3" i="31" l="1"/>
  <c r="E67" i="29"/>
  <c r="E55" i="29"/>
  <c r="E58" i="29"/>
  <c r="E72" i="29"/>
  <c r="E53" i="29"/>
  <c r="C15" i="31" l="1"/>
  <c r="C5" i="31"/>
  <c r="C12" i="31"/>
  <c r="C9" i="31"/>
  <c r="C11" i="31"/>
  <c r="C10" i="31"/>
  <c r="C7" i="31"/>
  <c r="C8" i="31"/>
  <c r="E12" i="29"/>
  <c r="E36" i="29" s="1"/>
  <c r="C14" i="31" l="1"/>
  <c r="E26" i="29"/>
  <c r="E46" i="29"/>
  <c r="E5" i="30"/>
  <c r="E8" i="30" s="1"/>
  <c r="E14" i="30" s="1"/>
  <c r="E16" i="30" s="1"/>
  <c r="F8" i="30" l="1"/>
  <c r="F14" i="30" s="1"/>
  <c r="F16" i="30" l="1"/>
  <c r="F71" i="29"/>
  <c r="F57" i="29"/>
  <c r="F70" i="29"/>
  <c r="F10" i="29"/>
  <c r="F55" i="29" l="1"/>
  <c r="F53" i="29"/>
  <c r="F67" i="29"/>
  <c r="F58" i="29"/>
  <c r="F72" i="29"/>
  <c r="D7" i="31"/>
  <c r="D15" i="31"/>
  <c r="D8" i="31"/>
  <c r="D5" i="31"/>
  <c r="D10" i="31"/>
  <c r="D12" i="31"/>
  <c r="D9" i="31"/>
  <c r="D11" i="31"/>
  <c r="F12" i="29" l="1"/>
  <c r="D14" i="31"/>
  <c r="F36" i="29" l="1"/>
  <c r="F26" i="29"/>
  <c r="F46" i="29"/>
  <c r="G6" i="29" l="1"/>
  <c r="E5" i="31" l="1"/>
  <c r="G57" i="29"/>
  <c r="G71" i="29"/>
  <c r="G70" i="29"/>
  <c r="Q6" i="29"/>
  <c r="G10" i="29" l="1"/>
  <c r="G58" i="29" s="1"/>
  <c r="Q8" i="29"/>
  <c r="Q57" i="29"/>
  <c r="E10" i="31"/>
  <c r="E8" i="31"/>
  <c r="E11" i="31"/>
  <c r="E9" i="31"/>
  <c r="E12" i="31"/>
  <c r="E7" i="31"/>
  <c r="Q71" i="29"/>
  <c r="G72" i="29" l="1"/>
  <c r="E14" i="31"/>
  <c r="G11" i="29"/>
  <c r="G53" i="29"/>
  <c r="G55" i="29"/>
  <c r="G67" i="29"/>
  <c r="G12" i="29" l="1"/>
  <c r="Q11" i="29"/>
  <c r="G26" i="29" l="1"/>
  <c r="G36" i="29"/>
  <c r="G46" i="29"/>
  <c r="Q12" i="29"/>
  <c r="Q67" i="29" l="1"/>
  <c r="Q55" i="29"/>
  <c r="Q26" i="29"/>
  <c r="Q53" i="29"/>
  <c r="Q36" i="29"/>
  <c r="Q46" i="29"/>
  <c r="Q70" i="29"/>
  <c r="Q58" i="29"/>
  <c r="Q72"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Samir</author>
    <author>SAMIR</author>
  </authors>
  <commentList>
    <comment ref="D8" authorId="0" shapeId="0" xr:uid="{9FC85301-9DCB-4C07-A49D-7828145E6C72}">
      <text>
        <r>
          <rPr>
            <b/>
            <sz val="9"/>
            <color indexed="81"/>
            <rFont val="Tahoma"/>
            <family val="2"/>
          </rPr>
          <t>Samir:</t>
        </r>
        <r>
          <rPr>
            <sz val="9"/>
            <color indexed="81"/>
            <rFont val="Tahoma"/>
            <family val="2"/>
          </rPr>
          <t xml:space="preserve">
12500 + 18% GST </t>
        </r>
      </text>
    </comment>
    <comment ref="A41" authorId="0" shapeId="0" xr:uid="{3AE68841-F0BF-4426-8F5A-667DAC47FE04}">
      <text>
        <r>
          <rPr>
            <b/>
            <sz val="9"/>
            <color indexed="81"/>
            <rFont val="Tahoma"/>
            <family val="2"/>
          </rPr>
          <t>Samir:</t>
        </r>
        <r>
          <rPr>
            <sz val="9"/>
            <color indexed="81"/>
            <rFont val="Tahoma"/>
            <family val="2"/>
          </rPr>
          <t xml:space="preserve">
CCTV @25000 + Staircase @55000 + chairs @17000</t>
        </r>
      </text>
    </comment>
    <comment ref="D42" authorId="1" shapeId="0" xr:uid="{368B18F7-0AE1-4C04-8675-6AB3EB38C5CF}">
      <text>
        <r>
          <rPr>
            <b/>
            <sz val="9"/>
            <color indexed="81"/>
            <rFont val="Tahoma"/>
            <family val="2"/>
          </rPr>
          <t>SAMIR:</t>
        </r>
        <r>
          <rPr>
            <sz val="9"/>
            <color indexed="81"/>
            <rFont val="Tahoma"/>
            <family val="2"/>
          </rPr>
          <t xml:space="preserve">
50000 from SC Personal and 15000 from Company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SAMIR</author>
  </authors>
  <commentList>
    <comment ref="F41" authorId="0" shapeId="0" xr:uid="{BE709AE1-C9DF-4C12-9691-05A97814A7FE}">
      <text>
        <r>
          <rPr>
            <b/>
            <sz val="9"/>
            <color indexed="81"/>
            <rFont val="Tahoma"/>
            <family val="2"/>
          </rPr>
          <t>SAMIR:</t>
        </r>
        <r>
          <rPr>
            <sz val="9"/>
            <color indexed="81"/>
            <rFont val="Tahoma"/>
            <family val="2"/>
          </rPr>
          <t xml:space="preserve">
30th May final shipment form Artevo and Thoir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SAMIR</author>
  </authors>
  <commentList>
    <comment ref="C4" authorId="0" shapeId="0" xr:uid="{9E1A99A4-EDF2-437A-89AA-29A088CB7D9B}">
      <text>
        <r>
          <rPr>
            <b/>
            <sz val="9"/>
            <color indexed="81"/>
            <rFont val="Tahoma"/>
            <family val="2"/>
          </rPr>
          <t xml:space="preserve">SAM
124500 WAS FORM JAN REV AND BALANCE OF CAPEX … ADDED 30000 AGAINST CAPEX + 70000 on 13th Feb against capex </t>
        </r>
      </text>
    </comment>
    <comment ref="D7" authorId="0" shapeId="0" xr:uid="{34349858-4DD1-4D5B-B51C-A3EDB279C91C}">
      <text>
        <r>
          <rPr>
            <b/>
            <sz val="9"/>
            <color indexed="81"/>
            <rFont val="Tahoma"/>
            <family val="2"/>
          </rPr>
          <t>SAMIR:</t>
        </r>
        <r>
          <rPr>
            <sz val="9"/>
            <color indexed="81"/>
            <rFont val="Tahoma"/>
            <family val="2"/>
          </rPr>
          <t xml:space="preserve">
</t>
        </r>
        <r>
          <rPr>
            <sz val="11"/>
            <color indexed="81"/>
            <rFont val="Aptos"/>
            <family val="2"/>
          </rPr>
          <t xml:space="preserve">41600 Paid my Sam via HDFC Card for internet , 1L invested by SC in 70k and 30k , 1.5 L Invested by KK - 1l &amp; 50k </t>
        </r>
      </text>
    </comment>
    <comment ref="E7" authorId="0" shapeId="0" xr:uid="{85FA2C47-B67B-443F-81DE-1BF771131915}">
      <text>
        <r>
          <rPr>
            <b/>
            <sz val="9"/>
            <color indexed="81"/>
            <rFont val="Tahoma"/>
            <family val="2"/>
          </rPr>
          <t>SAMIR:</t>
        </r>
        <r>
          <rPr>
            <sz val="9"/>
            <color indexed="81"/>
            <rFont val="Tahoma"/>
            <family val="2"/>
          </rPr>
          <t xml:space="preserve">
from Karan 50k , from Samir 75k on 14th April  + 300000 ( 150000 from each)</t>
        </r>
      </text>
    </comment>
    <comment ref="F7" authorId="0" shapeId="0" xr:uid="{6CC242A9-AE1E-49C9-B168-B9D174A7613A}">
      <text>
        <r>
          <rPr>
            <b/>
            <sz val="9"/>
            <color indexed="81"/>
            <rFont val="Tahoma"/>
            <family val="2"/>
          </rPr>
          <t>SAMIR:</t>
        </r>
        <r>
          <rPr>
            <sz val="9"/>
            <color indexed="81"/>
            <rFont val="Tahoma"/>
            <family val="2"/>
          </rPr>
          <t xml:space="preserve">
1.86 lacs from Samir on 2nd May 
1L from samir on 13th May
81500 from samir on 22nd May 
50000 Form Samir on 29th May 
30000 from Samir on 29th May 
 3rd May Karan 1.50 Lacs
 1L from Karan on 13th May
</t>
        </r>
      </text>
    </comment>
    <comment ref="E22" authorId="0" shapeId="0" xr:uid="{243D90CB-0D97-4AB4-8C59-AA5D8F622283}">
      <text>
        <r>
          <rPr>
            <b/>
            <sz val="9"/>
            <color indexed="81"/>
            <rFont val="Tahoma"/>
            <family val="2"/>
          </rPr>
          <t>SAMIR:</t>
        </r>
        <r>
          <rPr>
            <sz val="9"/>
            <color indexed="81"/>
            <rFont val="Tahoma"/>
            <family val="2"/>
          </rPr>
          <t xml:space="preserve">
Cheque No 84, dated 2nd April </t>
        </r>
      </text>
    </comment>
    <comment ref="E23" authorId="0" shapeId="0" xr:uid="{14FC755B-4F62-41AA-A561-224801E8C268}">
      <text>
        <r>
          <rPr>
            <b/>
            <sz val="9"/>
            <color indexed="81"/>
            <rFont val="Tahoma"/>
            <family val="2"/>
          </rPr>
          <t>SAMIR:</t>
        </r>
        <r>
          <rPr>
            <sz val="9"/>
            <color indexed="81"/>
            <rFont val="Tahoma"/>
            <family val="2"/>
          </rPr>
          <t xml:space="preserve">
Cheeque No 83 , dated 2nd April </t>
        </r>
      </text>
    </comment>
    <comment ref="G24" authorId="0" shapeId="0" xr:uid="{57744EA2-E2AF-429F-8C95-33E6F12BB424}">
      <text>
        <r>
          <rPr>
            <b/>
            <sz val="9"/>
            <color indexed="81"/>
            <rFont val="Tahoma"/>
            <family val="2"/>
          </rPr>
          <t>SAMIR:</t>
        </r>
        <r>
          <rPr>
            <sz val="9"/>
            <color indexed="81"/>
            <rFont val="Tahoma"/>
            <family val="2"/>
          </rPr>
          <t xml:space="preserve">
Date 4th June cheque no 100
50000 dated 30th May cq n0 103</t>
        </r>
      </text>
    </comment>
    <comment ref="F25" authorId="0" shapeId="0" xr:uid="{245E0882-D990-4637-8B50-DA96490A82F6}">
      <text>
        <r>
          <rPr>
            <b/>
            <sz val="9"/>
            <color indexed="81"/>
            <rFont val="Tahoma"/>
            <family val="2"/>
          </rPr>
          <t>SAMIR:</t>
        </r>
        <r>
          <rPr>
            <sz val="9"/>
            <color indexed="81"/>
            <rFont val="Tahoma"/>
            <family val="2"/>
          </rPr>
          <t xml:space="preserve">
Nirman cheque no 101 @ 100000 DATED 22nd May , 
  </t>
        </r>
      </text>
    </comment>
    <comment ref="G25" authorId="0" shapeId="0" xr:uid="{F677599C-E81F-4F6E-9587-9379CA3545C7}">
      <text>
        <r>
          <rPr>
            <b/>
            <sz val="9"/>
            <color indexed="81"/>
            <rFont val="Tahoma"/>
            <family val="2"/>
          </rPr>
          <t>SAMIR:</t>
        </r>
        <r>
          <rPr>
            <sz val="9"/>
            <color indexed="81"/>
            <rFont val="Tahoma"/>
            <family val="2"/>
          </rPr>
          <t xml:space="preserve">
Cheque no 102 dated 7th June @ 100000/-</t>
        </r>
      </text>
    </comment>
    <comment ref="C33" authorId="0" shapeId="0" xr:uid="{6CF45DBD-40C5-44BB-80CB-1176EACA7DE9}">
      <text>
        <r>
          <rPr>
            <b/>
            <sz val="9"/>
            <color indexed="81"/>
            <rFont val="Tahoma"/>
            <family val="2"/>
          </rPr>
          <t>SAMIR:</t>
        </r>
        <r>
          <rPr>
            <sz val="9"/>
            <color indexed="81"/>
            <rFont val="Tahoma"/>
            <family val="2"/>
          </rPr>
          <t xml:space="preserve">
10th Feb </t>
        </r>
      </text>
    </comment>
    <comment ref="D33" authorId="0" shapeId="0" xr:uid="{A7C16500-562C-4025-BD6C-3E6DE7031375}">
      <text>
        <r>
          <rPr>
            <b/>
            <sz val="9"/>
            <color indexed="81"/>
            <rFont val="Tahoma"/>
            <family val="2"/>
          </rPr>
          <t>SAMIR:</t>
        </r>
        <r>
          <rPr>
            <sz val="9"/>
            <color indexed="81"/>
            <rFont val="Tahoma"/>
            <family val="2"/>
          </rPr>
          <t xml:space="preserve">
PAID ON 20TH </t>
        </r>
      </text>
    </comment>
    <comment ref="E34" authorId="0" shapeId="0" xr:uid="{1AF8BB35-8267-426C-9BD1-3532C9B615DB}">
      <text>
        <r>
          <rPr>
            <b/>
            <sz val="9"/>
            <color indexed="81"/>
            <rFont val="Tahoma"/>
            <family val="2"/>
          </rPr>
          <t>SAMIR:</t>
        </r>
        <r>
          <rPr>
            <sz val="9"/>
            <color indexed="81"/>
            <rFont val="Tahoma"/>
            <family val="2"/>
          </rPr>
          <t xml:space="preserve">
refunded to samir </t>
        </r>
      </text>
    </comment>
    <comment ref="E35" authorId="0" shapeId="0" xr:uid="{2AA53D13-3D75-42C4-BA0F-BBC9155D14AD}">
      <text>
        <r>
          <rPr>
            <b/>
            <sz val="9"/>
            <color indexed="81"/>
            <rFont val="Tahoma"/>
            <family val="2"/>
          </rPr>
          <t>SAMIR:</t>
        </r>
        <r>
          <rPr>
            <sz val="9"/>
            <color indexed="81"/>
            <rFont val="Tahoma"/>
            <family val="2"/>
          </rPr>
          <t xml:space="preserve">
refunded to samir </t>
        </r>
      </text>
    </comment>
    <comment ref="E37" authorId="0" shapeId="0" xr:uid="{422318BF-0542-4B15-93BC-BF41FD9489C9}">
      <text>
        <r>
          <rPr>
            <b/>
            <sz val="9"/>
            <color indexed="81"/>
            <rFont val="Tahoma"/>
            <family val="2"/>
          </rPr>
          <t>SAMIR:</t>
        </r>
        <r>
          <rPr>
            <sz val="9"/>
            <color indexed="81"/>
            <rFont val="Tahoma"/>
            <family val="2"/>
          </rPr>
          <t xml:space="preserve">
refunded to samir </t>
        </r>
      </text>
    </comment>
    <comment ref="E38" authorId="0" shapeId="0" xr:uid="{AAFFF747-9FE4-4CA3-BC78-889F4FE4E318}">
      <text>
        <r>
          <rPr>
            <b/>
            <sz val="9"/>
            <color indexed="81"/>
            <rFont val="Tahoma"/>
            <family val="2"/>
          </rPr>
          <t>SAMIR:</t>
        </r>
        <r>
          <rPr>
            <sz val="9"/>
            <color indexed="81"/>
            <rFont val="Tahoma"/>
            <family val="2"/>
          </rPr>
          <t xml:space="preserve">
refunded to samir</t>
        </r>
      </text>
    </comment>
    <comment ref="E39" authorId="0" shapeId="0" xr:uid="{1F55A417-EAD6-4F7F-9FC9-32F8522F9E9B}">
      <text>
        <r>
          <rPr>
            <b/>
            <sz val="9"/>
            <color indexed="81"/>
            <rFont val="Tahoma"/>
            <family val="2"/>
          </rPr>
          <t>SAMIR:</t>
        </r>
        <r>
          <rPr>
            <sz val="9"/>
            <color indexed="81"/>
            <rFont val="Tahoma"/>
            <family val="2"/>
          </rPr>
          <t xml:space="preserve">
Kulmail &amp; morrors from chacha</t>
        </r>
      </text>
    </comment>
    <comment ref="F39" authorId="0" shapeId="0" xr:uid="{8BDCE1A1-2CB0-4184-9315-3365E01F3A0E}">
      <text>
        <r>
          <rPr>
            <b/>
            <sz val="9"/>
            <color indexed="81"/>
            <rFont val="Tahoma"/>
            <family val="2"/>
          </rPr>
          <t>SAMIR:</t>
        </r>
        <r>
          <rPr>
            <sz val="9"/>
            <color indexed="81"/>
            <rFont val="Tahoma"/>
            <family val="2"/>
          </rPr>
          <t xml:space="preserve">
cheque no 95 , date 12th May 2025 Nirman 
glass chacha 1935 , cheque no 97 , date 30th April 2025 
21st May 72 silver tea spoons</t>
        </r>
      </text>
    </comment>
    <comment ref="D41" authorId="0" shapeId="0" xr:uid="{EE142D24-FD26-4FAB-941A-F73C4AD045B4}">
      <text>
        <r>
          <rPr>
            <b/>
            <sz val="9"/>
            <color indexed="81"/>
            <rFont val="Tahoma"/>
            <family val="2"/>
          </rPr>
          <t>SAMIR:</t>
        </r>
        <r>
          <rPr>
            <sz val="9"/>
            <color indexed="81"/>
            <rFont val="Tahoma"/>
            <family val="2"/>
          </rPr>
          <t xml:space="preserve">
Paid by samir on CC , HDFC </t>
        </r>
      </text>
    </comment>
    <comment ref="C42" authorId="0" shapeId="0" xr:uid="{C9F6D003-56C7-400A-9383-C89AE217E075}">
      <text>
        <r>
          <rPr>
            <b/>
            <sz val="9"/>
            <color indexed="81"/>
            <rFont val="Tahoma"/>
            <family val="2"/>
          </rPr>
          <t>SAMIR:</t>
        </r>
        <r>
          <rPr>
            <sz val="9"/>
            <color indexed="81"/>
            <rFont val="Tahoma"/>
            <family val="2"/>
          </rPr>
          <t xml:space="preserve">
Paid on 13th Feb </t>
        </r>
      </text>
    </comment>
    <comment ref="E45" authorId="0" shapeId="0" xr:uid="{0CB0D175-C0FF-48E8-BF00-BE020C767F97}">
      <text>
        <r>
          <rPr>
            <b/>
            <sz val="9"/>
            <color indexed="81"/>
            <rFont val="Tahoma"/>
            <family val="2"/>
          </rPr>
          <t>SAMIR:</t>
        </r>
        <r>
          <rPr>
            <sz val="9"/>
            <color indexed="81"/>
            <rFont val="Tahoma"/>
            <family val="2"/>
          </rPr>
          <t xml:space="preserve">
Refunded to Samir from company </t>
        </r>
      </text>
    </comment>
    <comment ref="F45" authorId="0" shapeId="0" xr:uid="{A5E3AB89-9709-40F2-9FDB-1E8C0B01F3B6}">
      <text>
        <r>
          <rPr>
            <b/>
            <sz val="9"/>
            <color indexed="81"/>
            <rFont val="Tahoma"/>
            <family val="2"/>
          </rPr>
          <t>SAMIR:</t>
        </r>
        <r>
          <rPr>
            <sz val="9"/>
            <color indexed="81"/>
            <rFont val="Tahoma"/>
            <family val="2"/>
          </rPr>
          <t xml:space="preserve">
Samir Paid via Gpay on 30th May 2025 </t>
        </r>
      </text>
    </comment>
    <comment ref="E47" authorId="0" shapeId="0" xr:uid="{F513FAB0-8B23-4C5A-B40E-47E47A5E944E}">
      <text>
        <r>
          <rPr>
            <b/>
            <sz val="9"/>
            <color indexed="81"/>
            <rFont val="Tahoma"/>
            <family val="2"/>
          </rPr>
          <t>SAMIR:</t>
        </r>
        <r>
          <rPr>
            <sz val="9"/>
            <color indexed="81"/>
            <rFont val="Tahoma"/>
            <family val="2"/>
          </rPr>
          <t xml:space="preserve">
NIRMAN 2L + Kumale 69000</t>
        </r>
      </text>
    </comment>
    <comment ref="F47" authorId="0" shapeId="0" xr:uid="{34021DA2-4097-41A9-9024-1C589ABE85BD}">
      <text>
        <r>
          <rPr>
            <b/>
            <sz val="9"/>
            <color indexed="81"/>
            <rFont val="Tahoma"/>
            <family val="2"/>
          </rPr>
          <t>SAMIR:</t>
        </r>
        <r>
          <rPr>
            <sz val="9"/>
            <color indexed="81"/>
            <rFont val="Tahoma"/>
            <family val="2"/>
          </rPr>
          <t xml:space="preserve">
2nd May 2Lacs  &amp; 137432 on 13th May to 
Kumail 
</t>
        </r>
      </text>
    </comment>
    <comment ref="D48" authorId="0" shapeId="0" xr:uid="{D6091421-9784-4A36-AC85-FBDB7954FBCD}">
      <text>
        <r>
          <rPr>
            <b/>
            <sz val="9"/>
            <color indexed="81"/>
            <rFont val="Tahoma"/>
            <family val="2"/>
          </rPr>
          <t>SAMIR:</t>
        </r>
        <r>
          <rPr>
            <sz val="9"/>
            <color indexed="81"/>
            <rFont val="Tahoma"/>
            <family val="2"/>
          </rPr>
          <t xml:space="preserve">
Komal for old account 20th March Cheque no 79</t>
        </r>
      </text>
    </comment>
    <comment ref="E48" authorId="0" shapeId="0" xr:uid="{C344E7D1-B501-4B48-B294-169A034C749A}">
      <text>
        <r>
          <rPr>
            <b/>
            <sz val="9"/>
            <color indexed="81"/>
            <rFont val="Tahoma"/>
            <family val="2"/>
          </rPr>
          <t>SAMIR:</t>
        </r>
        <r>
          <rPr>
            <sz val="9"/>
            <color indexed="81"/>
            <rFont val="Tahoma"/>
            <family val="2"/>
          </rPr>
          <t xml:space="preserve">
Raj IT , refudned to samir </t>
        </r>
      </text>
    </comment>
    <comment ref="C49" authorId="0" shapeId="0" xr:uid="{258FA96C-6197-4146-9848-C316712CCC4C}">
      <text>
        <r>
          <rPr>
            <b/>
            <sz val="9"/>
            <color indexed="81"/>
            <rFont val="Tahoma"/>
            <family val="2"/>
          </rPr>
          <t>SAMIR:</t>
        </r>
        <r>
          <rPr>
            <sz val="9"/>
            <color indexed="81"/>
            <rFont val="Tahoma"/>
            <family val="2"/>
          </rPr>
          <t xml:space="preserve">
15th Feb </t>
        </r>
      </text>
    </comment>
  </commentList>
</comments>
</file>

<file path=xl/sharedStrings.xml><?xml version="1.0" encoding="utf-8"?>
<sst xmlns="http://schemas.openxmlformats.org/spreadsheetml/2006/main" count="804" uniqueCount="401">
  <si>
    <t xml:space="preserve">Total </t>
  </si>
  <si>
    <t>Heads</t>
  </si>
  <si>
    <t>Total</t>
  </si>
  <si>
    <t xml:space="preserve">Cost </t>
  </si>
  <si>
    <t>% of Sales</t>
  </si>
  <si>
    <t>Total Semi Variable Expenses</t>
  </si>
  <si>
    <t>Administration Cost</t>
  </si>
  <si>
    <t xml:space="preserve">Repairs &amp; Maintenance </t>
  </si>
  <si>
    <t xml:space="preserve">BMC garbage collection </t>
  </si>
  <si>
    <t>Local Conveyance</t>
  </si>
  <si>
    <t xml:space="preserve">Printing &amp; Stationery </t>
  </si>
  <si>
    <t xml:space="preserve">Total Admin cost </t>
  </si>
  <si>
    <t>PR &amp; Marketing Cost</t>
  </si>
  <si>
    <t xml:space="preserve">Social media retainer </t>
  </si>
  <si>
    <t>Social media creative</t>
  </si>
  <si>
    <t xml:space="preserve">Ads on Social Media </t>
  </si>
  <si>
    <t>Total Selling &amp; Marketing Cost</t>
  </si>
  <si>
    <t xml:space="preserve">Total Salary </t>
  </si>
  <si>
    <t>Total Expenses (Excl Rent)</t>
  </si>
  <si>
    <t>Profit Before Non Controllable cost</t>
  </si>
  <si>
    <t>Non Controllable Cost</t>
  </si>
  <si>
    <t xml:space="preserve">Other Bank Charges </t>
  </si>
  <si>
    <t xml:space="preserve">CAM - Socity charges </t>
  </si>
  <si>
    <t xml:space="preserve">AMC  Not for Year 1 </t>
  </si>
  <si>
    <t>Total Non Controllable Cost</t>
  </si>
  <si>
    <t xml:space="preserve">Total Expenses </t>
  </si>
  <si>
    <t>Total Expenses (Incl. Rent)</t>
  </si>
  <si>
    <t>EBITDA</t>
  </si>
  <si>
    <t>Outlet Ware (Disposables)</t>
  </si>
  <si>
    <t xml:space="preserve">Licensee Obtaining Cost if any </t>
  </si>
  <si>
    <t xml:space="preserve">Miscellaneous Expenses (Cops , BMC) </t>
  </si>
  <si>
    <t>Legal &amp; Statutory Expenses ( Accounts , CA , Lawyers etc..)</t>
  </si>
  <si>
    <t xml:space="preserve">Micro </t>
  </si>
  <si>
    <t xml:space="preserve">Name </t>
  </si>
  <si>
    <t xml:space="preserve">Company </t>
  </si>
  <si>
    <t xml:space="preserve">Pest Control &amp; deep cleaning ( 2 times per month) </t>
  </si>
  <si>
    <t xml:space="preserve">PR @ 3 months </t>
  </si>
  <si>
    <t>Rental Deposits 3 months (Refundable)</t>
  </si>
  <si>
    <t xml:space="preserve">Rent </t>
  </si>
  <si>
    <t xml:space="preserve">Grand Total </t>
  </si>
  <si>
    <t>Revenue flow (Part A)</t>
  </si>
  <si>
    <t xml:space="preserve">Semi Variable  Operations </t>
  </si>
  <si>
    <t xml:space="preserve">Staff Food </t>
  </si>
  <si>
    <t xml:space="preserve">Operations cost </t>
  </si>
  <si>
    <t xml:space="preserve">Lawer fee for all documention </t>
  </si>
  <si>
    <t>Registration and Stamp Duty ( twice)</t>
  </si>
  <si>
    <t>True copy for documents (  twice)</t>
  </si>
  <si>
    <t xml:space="preserve">Paid by </t>
  </si>
  <si>
    <t xml:space="preserve">Samir Personal </t>
  </si>
  <si>
    <t xml:space="preserve">Karan Personal </t>
  </si>
  <si>
    <t xml:space="preserve">GST fee </t>
  </si>
  <si>
    <t xml:space="preserve">Actual </t>
  </si>
  <si>
    <t xml:space="preserve">Shop &amp; Establisment license </t>
  </si>
  <si>
    <t xml:space="preserve">CCG </t>
  </si>
  <si>
    <t xml:space="preserve">CA fees </t>
  </si>
  <si>
    <t xml:space="preserve">Branding and qulatrals </t>
  </si>
  <si>
    <t>Registration of company</t>
  </si>
  <si>
    <t xml:space="preserve">Registration of company </t>
  </si>
  <si>
    <t>Registration  ( change of address and holding)</t>
  </si>
  <si>
    <t xml:space="preserve">Office </t>
  </si>
  <si>
    <t xml:space="preserve">Total Staff needed </t>
  </si>
  <si>
    <t>Unit</t>
  </si>
  <si>
    <t xml:space="preserve">Salary per unit </t>
  </si>
  <si>
    <t>Total  salary CTC</t>
  </si>
  <si>
    <t xml:space="preserve">Social media / Web site </t>
  </si>
  <si>
    <t xml:space="preserve">AC </t>
  </si>
  <si>
    <t xml:space="preserve">Managing Partner </t>
  </si>
  <si>
    <t xml:space="preserve">Samir Chhabria </t>
  </si>
  <si>
    <t xml:space="preserve">Legal </t>
  </si>
  <si>
    <t xml:space="preserve">Assets </t>
  </si>
  <si>
    <t xml:space="preserve">Paid </t>
  </si>
  <si>
    <t xml:space="preserve">Balance </t>
  </si>
  <si>
    <t>Komal KYC Fees</t>
  </si>
  <si>
    <t xml:space="preserve">Full Utility for DW , Loading ,Unlaoding , office and warehouse cleaing </t>
  </si>
  <si>
    <t xml:space="preserve">Clean well </t>
  </si>
  <si>
    <t xml:space="preserve">Phone </t>
  </si>
  <si>
    <t xml:space="preserve">Water </t>
  </si>
  <si>
    <t>Water softner</t>
  </si>
  <si>
    <t xml:space="preserve">Uniforms </t>
  </si>
  <si>
    <t xml:space="preserve">Nilkamal tote boxes </t>
  </si>
  <si>
    <t>Mobil phone  (2)</t>
  </si>
  <si>
    <t xml:space="preserve">Kettle </t>
  </si>
  <si>
    <t xml:space="preserve">printer with photo copy and scanner </t>
  </si>
  <si>
    <t xml:space="preserve">Others </t>
  </si>
  <si>
    <t xml:space="preserve">Racks  </t>
  </si>
  <si>
    <t>personal samir</t>
  </si>
  <si>
    <t xml:space="preserve">Office décor </t>
  </si>
  <si>
    <t xml:space="preserve">Internet  hardware </t>
  </si>
  <si>
    <t xml:space="preserve">Tote boxes for all Glassware   stec ( Paid with HDFC CC) </t>
  </si>
  <si>
    <t>Kitchen mats ( Paid with HDFC CC)</t>
  </si>
  <si>
    <t>Trolley ( Paid with HDFC CC)</t>
  </si>
  <si>
    <t xml:space="preserve">Fire  Complience fee </t>
  </si>
  <si>
    <t xml:space="preserve">Fire extenvisher ( 20kg)  4 units </t>
  </si>
  <si>
    <t xml:space="preserve">Jan </t>
  </si>
  <si>
    <t xml:space="preserve">March </t>
  </si>
  <si>
    <t xml:space="preserve">Business days </t>
  </si>
  <si>
    <t xml:space="preserve">Fixed </t>
  </si>
  <si>
    <t xml:space="preserve">Eletricity </t>
  </si>
  <si>
    <t>Insurance ( Equipment )</t>
  </si>
  <si>
    <t xml:space="preserve">House Keeping Supply  including WC </t>
  </si>
  <si>
    <t>glass rasck from Janta  (sample 1 unit)</t>
  </si>
  <si>
    <t xml:space="preserve">Lap top </t>
  </si>
  <si>
    <t xml:space="preserve">Software  Tally </t>
  </si>
  <si>
    <t>Stationery</t>
  </si>
  <si>
    <t xml:space="preserve">Working cap for Dec 2024 </t>
  </si>
  <si>
    <t xml:space="preserve">Working cap for Jan  2025 </t>
  </si>
  <si>
    <t xml:space="preserve">Dishwasher Liquid </t>
  </si>
  <si>
    <t xml:space="preserve">Acutal </t>
  </si>
  <si>
    <t xml:space="preserve">Added tote boxes ( 10 glass racks and 25 extenders ) + Dustbin , floor mat , cuttlury rack </t>
  </si>
  <si>
    <t xml:space="preserve">Internet </t>
  </si>
  <si>
    <t xml:space="preserve">mobile </t>
  </si>
  <si>
    <t xml:space="preserve">Salary  HO </t>
  </si>
  <si>
    <t>Subtotal</t>
  </si>
  <si>
    <t xml:space="preserve">Total Capex </t>
  </si>
  <si>
    <t xml:space="preserve">Interner instlations and first quarter bill </t>
  </si>
  <si>
    <t xml:space="preserve">RO rent for drinking water </t>
  </si>
  <si>
    <t xml:space="preserve">Pest control </t>
  </si>
  <si>
    <t xml:space="preserve">Dish washer  with Ss trolley  extra </t>
  </si>
  <si>
    <t xml:space="preserve">Rent  </t>
  </si>
  <si>
    <t xml:space="preserve"> Dishwashing supply </t>
  </si>
  <si>
    <t xml:space="preserve">% of  sales from net rev </t>
  </si>
  <si>
    <t xml:space="preserve">Civil </t>
  </si>
  <si>
    <t xml:space="preserve">Mirror &amp; Glass for buffet ware </t>
  </si>
  <si>
    <t xml:space="preserve">Staff wellfair NYE lunch &amp; Pooja </t>
  </si>
  <si>
    <t>Office MIST  / Petty cash to Ashish - ( Account given)</t>
  </si>
  <si>
    <t xml:space="preserve"> Renovation  starting , All machines &amp; aqua guard ( less painting) &amp; CCTV+ Staircase+ chairs</t>
  </si>
  <si>
    <t xml:space="preserve"> painting</t>
  </si>
  <si>
    <t>Samir Personal /company</t>
  </si>
  <si>
    <t xml:space="preserve">OPS &amp; Office supply </t>
  </si>
  <si>
    <t xml:space="preserve">April </t>
  </si>
  <si>
    <t>Personal Karan / company</t>
  </si>
  <si>
    <t xml:space="preserve"> Breakage of CCG   ( this is only for the stock that , clients might not pay) </t>
  </si>
  <si>
    <t xml:space="preserve">May </t>
  </si>
  <si>
    <t xml:space="preserve">June </t>
  </si>
  <si>
    <t xml:space="preserve">July </t>
  </si>
  <si>
    <t xml:space="preserve">Aug </t>
  </si>
  <si>
    <t>Sep</t>
  </si>
  <si>
    <t xml:space="preserve">Oct </t>
  </si>
  <si>
    <t>Nov</t>
  </si>
  <si>
    <t>Dec</t>
  </si>
  <si>
    <t>Jan</t>
  </si>
  <si>
    <t>Feb</t>
  </si>
  <si>
    <t>March</t>
  </si>
  <si>
    <t>TOTAL 25-26</t>
  </si>
  <si>
    <t xml:space="preserve">Ashish Suve </t>
  </si>
  <si>
    <t xml:space="preserve">Asst Unit Manager </t>
  </si>
  <si>
    <t xml:space="preserve">WC &amp; Car cleaning </t>
  </si>
  <si>
    <t xml:space="preserve">Salary  Out sourced </t>
  </si>
  <si>
    <t xml:space="preserve">Feb for Jan Payments </t>
  </si>
  <si>
    <t xml:space="preserve">Contractor </t>
  </si>
  <si>
    <t xml:space="preserve">March for Feb Payments </t>
  </si>
  <si>
    <t>PPT</t>
  </si>
  <si>
    <t>CA fees</t>
  </si>
  <si>
    <t xml:space="preserve">Mobile bill </t>
  </si>
  <si>
    <t xml:space="preserve">10th  To 20 th </t>
  </si>
  <si>
    <t xml:space="preserve">Total Operations cost </t>
  </si>
  <si>
    <t xml:space="preserve">Payments to made to vendors </t>
  </si>
  <si>
    <t xml:space="preserve">Fixed cost </t>
  </si>
  <si>
    <t xml:space="preserve">Blalance in Hand </t>
  </si>
  <si>
    <t xml:space="preserve">April for March Payments </t>
  </si>
  <si>
    <t xml:space="preserve">Working cap for Feb 2025 </t>
  </si>
  <si>
    <t xml:space="preserve">Dishwasher  Paid on </t>
  </si>
  <si>
    <t xml:space="preserve">Painter - Paid on </t>
  </si>
  <si>
    <t xml:space="preserve">Vendor Payments against Capex </t>
  </si>
  <si>
    <t xml:space="preserve">Rent  TDS </t>
  </si>
  <si>
    <t xml:space="preserve">Clean Well services </t>
  </si>
  <si>
    <t xml:space="preserve">Eletricity bill </t>
  </si>
  <si>
    <t xml:space="preserve">Water  </t>
  </si>
  <si>
    <t xml:space="preserve">Inter net </t>
  </si>
  <si>
    <t xml:space="preserve">Total Others </t>
  </si>
  <si>
    <t>SK Manekia  ( Green dinner set)</t>
  </si>
  <si>
    <t>SK Manekia  ( Cutlury )</t>
  </si>
  <si>
    <t xml:space="preserve">Harbour  Aritvo , Selite , Rona </t>
  </si>
  <si>
    <t xml:space="preserve">Thanor Pottery </t>
  </si>
  <si>
    <t xml:space="preserve">Neeti Utyog </t>
  </si>
  <si>
    <t xml:space="preserve">Share holding </t>
  </si>
  <si>
    <t xml:space="preserve">Samir </t>
  </si>
  <si>
    <t xml:space="preserve">Karan </t>
  </si>
  <si>
    <t xml:space="preserve">Invested </t>
  </si>
  <si>
    <t xml:space="preserve">Balance to Invest </t>
  </si>
  <si>
    <t xml:space="preserve">Total needed Investment </t>
  </si>
  <si>
    <t xml:space="preserve">Actual including GST </t>
  </si>
  <si>
    <t xml:space="preserve">Ops &amp; Office Supply Less Working Cap </t>
  </si>
  <si>
    <t xml:space="preserve">CCG Purchase </t>
  </si>
  <si>
    <t xml:space="preserve">Transport for reciving CCG </t>
  </si>
  <si>
    <t>Samir personal</t>
  </si>
  <si>
    <t xml:space="preserve">DW liquid </t>
  </si>
  <si>
    <t xml:space="preserve">Total payouts </t>
  </si>
  <si>
    <t xml:space="preserve">Internet bill for 6 months </t>
  </si>
  <si>
    <t xml:space="preserve">samir personal </t>
  </si>
  <si>
    <t xml:space="preserve">Sal </t>
  </si>
  <si>
    <t xml:space="preserve">Out sourced Sal </t>
  </si>
  <si>
    <t xml:space="preserve">Eletricty </t>
  </si>
  <si>
    <t xml:space="preserve">Heads </t>
  </si>
  <si>
    <t xml:space="preserve">Staff drinking water </t>
  </si>
  <si>
    <t xml:space="preserve">Working Cap Dec to March </t>
  </si>
  <si>
    <t xml:space="preserve">Sat </t>
  </si>
  <si>
    <t>Sun</t>
  </si>
  <si>
    <t xml:space="preserve">Mon </t>
  </si>
  <si>
    <t xml:space="preserve">Wed </t>
  </si>
  <si>
    <t>%</t>
  </si>
  <si>
    <t xml:space="preserve">Add  GST </t>
  </si>
  <si>
    <t xml:space="preserve">Grorss  Revenue </t>
  </si>
  <si>
    <t xml:space="preserve">Oulet Rent TDS only </t>
  </si>
  <si>
    <t>Total Net Rev - ( All calclutions will be done on this figure)</t>
  </si>
  <si>
    <t xml:space="preserve">Staff drinking water for drinking water </t>
  </si>
  <si>
    <t xml:space="preserve">Transport  for purchases goods only </t>
  </si>
  <si>
    <t>Packing</t>
  </si>
  <si>
    <t xml:space="preserve">Month </t>
  </si>
  <si>
    <t xml:space="preserve">Avg weekly </t>
  </si>
  <si>
    <t xml:space="preserve">Tue </t>
  </si>
  <si>
    <t>Thrus</t>
  </si>
  <si>
    <t>Fri</t>
  </si>
  <si>
    <t xml:space="preserve">Rev % </t>
  </si>
  <si>
    <t xml:space="preserve">Salary Unit </t>
  </si>
  <si>
    <t>Salary HO</t>
  </si>
  <si>
    <t xml:space="preserve">Amount in account  from 1st </t>
  </si>
  <si>
    <t xml:space="preserve">1st to 10th </t>
  </si>
  <si>
    <t>Jan for Dec payments</t>
  </si>
  <si>
    <t>Acutal</t>
  </si>
  <si>
    <t xml:space="preserve">Petty cash </t>
  </si>
  <si>
    <t xml:space="preserve">Other monthly rev </t>
  </si>
  <si>
    <t xml:space="preserve">Acutal Net Rev </t>
  </si>
  <si>
    <t xml:space="preserve">Pending payments to clear before end of month Marked in Red </t>
  </si>
  <si>
    <r>
      <t>Months marked in (</t>
    </r>
    <r>
      <rPr>
        <b/>
        <sz val="10"/>
        <color rgb="FFFF0000"/>
        <rFont val="Aptos"/>
        <family val="2"/>
      </rPr>
      <t>Red</t>
    </r>
    <r>
      <rPr>
        <b/>
        <sz val="10"/>
        <color theme="1"/>
        <rFont val="Aptos"/>
        <family val="2"/>
      </rPr>
      <t xml:space="preserve"> are acutal  in </t>
    </r>
    <r>
      <rPr>
        <b/>
        <sz val="10"/>
        <color rgb="FF00B050"/>
        <rFont val="Aptos"/>
        <family val="2"/>
      </rPr>
      <t>Green</t>
    </r>
    <r>
      <rPr>
        <b/>
        <sz val="10"/>
        <color theme="1"/>
        <rFont val="Aptos"/>
        <family val="2"/>
      </rPr>
      <t xml:space="preserve"> is current , in Black is forecast )</t>
    </r>
  </si>
  <si>
    <t xml:space="preserve">Budget  Net Rev </t>
  </si>
  <si>
    <t xml:space="preserve">Total  in  in flow ongoing </t>
  </si>
  <si>
    <t xml:space="preserve">Total ops cost and vendor payments </t>
  </si>
  <si>
    <t xml:space="preserve">Old payments from vendors </t>
  </si>
  <si>
    <t xml:space="preserve"> investments against capex</t>
  </si>
  <si>
    <t xml:space="preserve">May for April Payments </t>
  </si>
  <si>
    <t xml:space="preserve">Varaince </t>
  </si>
  <si>
    <t xml:space="preserve">BUDGET NET REV </t>
  </si>
  <si>
    <t xml:space="preserve"> Revenue  Acutal </t>
  </si>
  <si>
    <t xml:space="preserve">Breakage rev Acutal </t>
  </si>
  <si>
    <t xml:space="preserve">Discount  Actual </t>
  </si>
  <si>
    <t xml:space="preserve">Old CCG Vendor payments </t>
  </si>
  <si>
    <t>spoon</t>
  </si>
  <si>
    <t xml:space="preserve">Raj IT </t>
  </si>
  <si>
    <t xml:space="preserve">Bowls </t>
  </si>
  <si>
    <t xml:space="preserve">Leaf bowls </t>
  </si>
  <si>
    <t xml:space="preserve">grinar tea </t>
  </si>
  <si>
    <t xml:space="preserve">coffee </t>
  </si>
  <si>
    <t>Amazon</t>
  </si>
  <si>
    <t xml:space="preserve">Swggy </t>
  </si>
  <si>
    <t xml:space="preserve">lunch with client </t>
  </si>
  <si>
    <t xml:space="preserve">ccg from home </t>
  </si>
  <si>
    <t>CCG Amazon</t>
  </si>
  <si>
    <t>Others (Coffee tea for office)</t>
  </si>
  <si>
    <t xml:space="preserve">Entertaiment for clients on store </t>
  </si>
  <si>
    <t xml:space="preserve">Other Peronal CCG sold to store </t>
  </si>
  <si>
    <t xml:space="preserve">Actual in  Bank </t>
  </si>
  <si>
    <t xml:space="preserve">Trasport charges for Purchases CCG  from samir Gpay </t>
  </si>
  <si>
    <t xml:space="preserve">Trasport charges for Purchases CCG  from company cheque </t>
  </si>
  <si>
    <t xml:space="preserve">mini forks </t>
  </si>
  <si>
    <t xml:space="preserve">Viraj   Nirman </t>
  </si>
  <si>
    <t xml:space="preserve">Balance due </t>
  </si>
  <si>
    <t>Pending as of May 2025</t>
  </si>
  <si>
    <t xml:space="preserve">Name tags and pet food </t>
  </si>
  <si>
    <t xml:space="preserve">Interest </t>
  </si>
  <si>
    <t>SWITCH RENTAL SERVICES LLP</t>
  </si>
  <si>
    <t>CHOKSEY,MANSION SHAHID,BHAGAT SINGH RD</t>
  </si>
  <si>
    <t>BAUARD ESTATE ANTP HILL</t>
  </si>
  <si>
    <t>MUMBAI</t>
  </si>
  <si>
    <t>E-Mail : samir@switchrental.in</t>
  </si>
  <si>
    <t>Samir Rajanc Chhabria (Loan)</t>
  </si>
  <si>
    <t>Ledger Account</t>
  </si>
  <si>
    <t/>
  </si>
  <si>
    <t>1-Apr-24 to 31-Mar-26</t>
  </si>
  <si>
    <t>Date</t>
  </si>
  <si>
    <t>Particulars</t>
  </si>
  <si>
    <t>Vch Type</t>
  </si>
  <si>
    <t>Vch No.</t>
  </si>
  <si>
    <t>Debit</t>
  </si>
  <si>
    <t>Credit</t>
  </si>
  <si>
    <t>By</t>
  </si>
  <si>
    <t>LLP Formation Expenses</t>
  </si>
  <si>
    <t>Journal</t>
  </si>
  <si>
    <t>170</t>
  </si>
  <si>
    <t>Icici bank - 104305003604</t>
  </si>
  <si>
    <t>Receipt</t>
  </si>
  <si>
    <t>2</t>
  </si>
  <si>
    <t>Samir Rajan Chhabria ( 74% Share)</t>
  </si>
  <si>
    <t>5</t>
  </si>
  <si>
    <t>4</t>
  </si>
  <si>
    <t>Cash</t>
  </si>
  <si>
    <t>14</t>
  </si>
  <si>
    <t>8</t>
  </si>
  <si>
    <t>Suresh S Pawar</t>
  </si>
  <si>
    <t>152</t>
  </si>
  <si>
    <t>9</t>
  </si>
  <si>
    <t>11</t>
  </si>
  <si>
    <t>12</t>
  </si>
  <si>
    <t>13</t>
  </si>
  <si>
    <t>15</t>
  </si>
  <si>
    <t>16</t>
  </si>
  <si>
    <t>17</t>
  </si>
  <si>
    <t>18</t>
  </si>
  <si>
    <t>19</t>
  </si>
  <si>
    <t>20</t>
  </si>
  <si>
    <t>21</t>
  </si>
  <si>
    <t>PAPER PLANE DESIGN</t>
  </si>
  <si>
    <t>74</t>
  </si>
  <si>
    <t>22</t>
  </si>
  <si>
    <t>Popy</t>
  </si>
  <si>
    <t>Ikea India Private Limited</t>
  </si>
  <si>
    <t>71</t>
  </si>
  <si>
    <t>To</t>
  </si>
  <si>
    <t>Shrenik N Bamb &amp; Associates</t>
  </si>
  <si>
    <t>41</t>
  </si>
  <si>
    <t>STEC HOTELWARES LLP</t>
  </si>
  <si>
    <t>75</t>
  </si>
  <si>
    <t>23</t>
  </si>
  <si>
    <t>24</t>
  </si>
  <si>
    <t>Rebel Foods Private Limited</t>
  </si>
  <si>
    <t>73</t>
  </si>
  <si>
    <t>81</t>
  </si>
  <si>
    <t>82</t>
  </si>
  <si>
    <t>25</t>
  </si>
  <si>
    <t>26</t>
  </si>
  <si>
    <t>Tata Teleservices Maharashtra Limited</t>
  </si>
  <si>
    <t>77</t>
  </si>
  <si>
    <t>Etrade Marketing Pvt. Ltd.</t>
  </si>
  <si>
    <t>80</t>
  </si>
  <si>
    <t>Infiniti  Retail Limited (Croma)</t>
  </si>
  <si>
    <t>69</t>
  </si>
  <si>
    <t>27</t>
  </si>
  <si>
    <t>37</t>
  </si>
  <si>
    <t>28</t>
  </si>
  <si>
    <t>76</t>
  </si>
  <si>
    <t>30</t>
  </si>
  <si>
    <t>Pi Techniques Private Limited</t>
  </si>
  <si>
    <t>63</t>
  </si>
  <si>
    <t>70</t>
  </si>
  <si>
    <t>Clicktech Retail Private Limited</t>
  </si>
  <si>
    <t>58</t>
  </si>
  <si>
    <t>R K World Infocom Pvt Ltd</t>
  </si>
  <si>
    <t>43</t>
  </si>
  <si>
    <t>Legal Fees</t>
  </si>
  <si>
    <t>94</t>
  </si>
  <si>
    <t>44</t>
  </si>
  <si>
    <t>SGST Output 9%</t>
  </si>
  <si>
    <t>100</t>
  </si>
  <si>
    <t>169</t>
  </si>
  <si>
    <t>46</t>
  </si>
  <si>
    <t>48</t>
  </si>
  <si>
    <t>50</t>
  </si>
  <si>
    <t>153</t>
  </si>
  <si>
    <t>155</t>
  </si>
  <si>
    <t>120</t>
  </si>
  <si>
    <t>62</t>
  </si>
  <si>
    <t>156</t>
  </si>
  <si>
    <t>131</t>
  </si>
  <si>
    <t>Payment</t>
  </si>
  <si>
    <t>10</t>
  </si>
  <si>
    <t>Amazon Retail India Pvt Ltd</t>
  </si>
  <si>
    <t>45</t>
  </si>
  <si>
    <t>Ocean Enterprises</t>
  </si>
  <si>
    <t>51</t>
  </si>
  <si>
    <t>Terminix Sis India Pvt Ltd</t>
  </si>
  <si>
    <t>53</t>
  </si>
  <si>
    <t>Steren Impex Pvt Ltd</t>
  </si>
  <si>
    <t>52</t>
  </si>
  <si>
    <t>Nij Enterprise</t>
  </si>
  <si>
    <t>Ilaben Vinodbhai Patel</t>
  </si>
  <si>
    <t>47</t>
  </si>
  <si>
    <t>Jagdama Cultery Ltd</t>
  </si>
  <si>
    <t>Neouth</t>
  </si>
  <si>
    <t>49</t>
  </si>
  <si>
    <t>34</t>
  </si>
  <si>
    <t>Closing Balance</t>
  </si>
  <si>
    <t>Karan Arjandas Khiani (Loans)</t>
  </si>
  <si>
    <t>Karan Arjandas  Khiani ( 24% Shares)</t>
  </si>
  <si>
    <t>3</t>
  </si>
  <si>
    <t>7</t>
  </si>
  <si>
    <t>68</t>
  </si>
  <si>
    <t xml:space="preserve">AVG Per day </t>
  </si>
  <si>
    <t>1-Apr-24 to 31-May-25</t>
  </si>
  <si>
    <t>Office Exp</t>
  </si>
  <si>
    <t>172</t>
  </si>
  <si>
    <t>173</t>
  </si>
  <si>
    <t>174</t>
  </si>
  <si>
    <t>171</t>
  </si>
  <si>
    <t>176</t>
  </si>
  <si>
    <t>175</t>
  </si>
  <si>
    <t xml:space="preserve">Diffrence as per acutal in account agains balance in hand </t>
  </si>
  <si>
    <t xml:space="preserve">Other payments old </t>
  </si>
  <si>
    <t xml:space="preserve">13th MAY </t>
  </si>
  <si>
    <t xml:space="preserve">New purchases of CCG  </t>
  </si>
  <si>
    <t>Paid in full</t>
  </si>
  <si>
    <t xml:space="preserve">Interest on capex @8% </t>
  </si>
  <si>
    <t xml:space="preserve">HK </t>
  </si>
  <si>
    <t xml:space="preserve">Daily Staff  on per day bases </t>
  </si>
  <si>
    <t xml:space="preserve">Old vendor  URGENT </t>
  </si>
  <si>
    <t xml:space="preserve">June for May Payments </t>
  </si>
  <si>
    <t xml:space="preserve">22nd May 2025 </t>
  </si>
  <si>
    <t xml:space="preserve">13th May 2025 </t>
  </si>
  <si>
    <t xml:space="preserve">Payments to Vendors  new purchases </t>
  </si>
  <si>
    <t xml:space="preserve">Daily staff supply man power </t>
  </si>
  <si>
    <t xml:space="preserve">23rd May  Stec purchase </t>
  </si>
  <si>
    <t xml:space="preserve">29th May fund deposited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</si>
</sst>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 #,##0.00_ ;_ * \-#,##0.00_ ;_ * &quot;-&quot;??_ ;_ @_ "/>
    <numFmt numFmtId="165" formatCode="_(* #,##0.00_);_(* \(#,##0.00\);_(* &quot;-&quot;??_);_(@_)"/>
    <numFmt numFmtId="166" formatCode="_ * #,##0_ ;_ * \-#,##0_ ;_ * &quot;-&quot;??_ ;_ @_ "/>
    <numFmt numFmtId="167" formatCode="_-* #,##0_-;\-* #,##0_-;_-* &quot;-&quot;??_-;_-@_-"/>
    <numFmt numFmtId="168" formatCode="_(* #,##0_);_(* \(#,##0\);_(* &quot;-&quot;??_);_(@_)"/>
    <numFmt numFmtId="169" formatCode="0.0%"/>
    <numFmt numFmtId="170" formatCode="_(&quot;$&quot;* #,##0.00_);_(&quot;$&quot;* \(#,##0.00\);_(&quot;$&quot;* &quot;-&quot;??_);_(@_)"/>
    <numFmt numFmtId="171" formatCode="&quot;&quot;0"/>
    <numFmt numFmtId="172" formatCode="&quot;&quot;0.00"/>
  </numFmts>
  <fonts count="52" x14ac:knownFonts="1">
    <font>
      <sz val="11"/>
      <color theme="1"/>
      <name val="Calibri"/>
      <family val="2"/>
      <scheme val="minor"/>
    </font>
    <font>
      <sz val="11"/>
      <color theme="1"/>
      <name val="Calibri"/>
      <family val="2"/>
      <scheme val="minor"/>
    </font>
    <font>
      <sz val="10"/>
      <name val="Arial"/>
      <family val="2"/>
    </font>
    <font>
      <sz val="10"/>
      <name val="Tahoma"/>
      <family val="2"/>
    </font>
    <font>
      <sz val="9"/>
      <color indexed="81"/>
      <name val="Tahoma"/>
      <family val="2"/>
    </font>
    <font>
      <b/>
      <sz val="9"/>
      <color indexed="81"/>
      <name val="Tahoma"/>
      <family val="2"/>
    </font>
    <font>
      <i/>
      <sz val="12"/>
      <color theme="1"/>
      <name val="Aptos"/>
      <family val="2"/>
    </font>
    <font>
      <sz val="12"/>
      <color theme="1"/>
      <name val="Calibri"/>
      <family val="2"/>
      <scheme val="minor"/>
    </font>
    <font>
      <sz val="10"/>
      <color theme="1"/>
      <name val="Aptos"/>
      <family val="2"/>
    </font>
    <font>
      <b/>
      <sz val="10"/>
      <color theme="1"/>
      <name val="Aptos"/>
      <family val="2"/>
    </font>
    <font>
      <b/>
      <sz val="10"/>
      <color rgb="FF00B050"/>
      <name val="Aptos"/>
      <family val="2"/>
    </font>
    <font>
      <b/>
      <sz val="10"/>
      <name val="Aptos"/>
      <family val="2"/>
    </font>
    <font>
      <sz val="10"/>
      <name val="Aptos"/>
      <family val="2"/>
    </font>
    <font>
      <b/>
      <sz val="10"/>
      <color theme="0"/>
      <name val="Aptos"/>
      <family val="2"/>
    </font>
    <font>
      <sz val="10"/>
      <color rgb="FFFF0000"/>
      <name val="Aptos"/>
      <family val="2"/>
    </font>
    <font>
      <u/>
      <sz val="10"/>
      <color rgb="FFFF0000"/>
      <name val="Aptos"/>
      <family val="2"/>
    </font>
    <font>
      <b/>
      <sz val="10"/>
      <color rgb="FFFF0000"/>
      <name val="Aptos"/>
      <family val="2"/>
    </font>
    <font>
      <i/>
      <sz val="9"/>
      <color theme="1"/>
      <name val="Aptos"/>
      <family val="2"/>
    </font>
    <font>
      <sz val="10"/>
      <color rgb="FF00B050"/>
      <name val="Aptos"/>
      <family val="2"/>
    </font>
    <font>
      <b/>
      <i/>
      <sz val="9"/>
      <name val="Aptos"/>
      <family val="2"/>
    </font>
    <font>
      <i/>
      <sz val="9"/>
      <name val="Aptos"/>
      <family val="2"/>
    </font>
    <font>
      <b/>
      <i/>
      <sz val="9"/>
      <color theme="1"/>
      <name val="Aptos"/>
      <family val="2"/>
    </font>
    <font>
      <i/>
      <sz val="9"/>
      <color theme="0"/>
      <name val="Aptos"/>
      <family val="2"/>
    </font>
    <font>
      <b/>
      <i/>
      <u/>
      <sz val="10"/>
      <name val="Aptos"/>
      <family val="2"/>
    </font>
    <font>
      <b/>
      <u/>
      <sz val="10"/>
      <name val="Aptos"/>
      <family val="2"/>
    </font>
    <font>
      <sz val="8"/>
      <color theme="1"/>
      <name val="Aptos"/>
      <family val="2"/>
    </font>
    <font>
      <b/>
      <i/>
      <sz val="10"/>
      <name val="Aptos"/>
      <family val="2"/>
    </font>
    <font>
      <sz val="11"/>
      <color indexed="81"/>
      <name val="Aptos"/>
      <family val="2"/>
    </font>
    <font>
      <b/>
      <i/>
      <sz val="12"/>
      <color theme="1"/>
      <name val="Aptos"/>
      <family val="2"/>
    </font>
    <font>
      <i/>
      <sz val="8"/>
      <color theme="1"/>
      <name val="Aptos"/>
      <family val="2"/>
    </font>
    <font>
      <i/>
      <sz val="8"/>
      <name val="Aptos"/>
      <family val="2"/>
    </font>
    <font>
      <b/>
      <i/>
      <sz val="8"/>
      <color theme="1"/>
      <name val="Aptos"/>
      <family val="2"/>
    </font>
    <font>
      <b/>
      <i/>
      <sz val="8"/>
      <name val="Aptos"/>
      <family val="2"/>
    </font>
    <font>
      <sz val="11"/>
      <color theme="1"/>
      <name val="Aptos"/>
      <family val="2"/>
    </font>
    <font>
      <i/>
      <sz val="11"/>
      <color theme="1"/>
      <name val="Aptos"/>
      <family val="2"/>
    </font>
    <font>
      <i/>
      <sz val="11"/>
      <color theme="1"/>
      <name val="Calibri"/>
      <family val="2"/>
      <scheme val="minor"/>
    </font>
    <font>
      <b/>
      <i/>
      <sz val="11"/>
      <color theme="1"/>
      <name val="Aptos"/>
      <family val="2"/>
    </font>
    <font>
      <b/>
      <i/>
      <sz val="11"/>
      <color theme="1"/>
      <name val="Calibri"/>
      <family val="2"/>
      <scheme val="minor"/>
    </font>
    <font>
      <b/>
      <i/>
      <sz val="11"/>
      <color rgb="FF00B050"/>
      <name val="Aptos"/>
      <family val="2"/>
    </font>
    <font>
      <b/>
      <i/>
      <sz val="11"/>
      <color rgb="FF00B050"/>
      <name val="Calibri"/>
      <family val="2"/>
      <scheme val="minor"/>
    </font>
    <font>
      <b/>
      <i/>
      <u val="singleAccounting"/>
      <sz val="10"/>
      <name val="Aptos"/>
      <family val="2"/>
    </font>
    <font>
      <b/>
      <u/>
      <sz val="10"/>
      <color theme="1"/>
      <name val="Aptos"/>
      <family val="2"/>
    </font>
    <font>
      <b/>
      <i/>
      <sz val="8"/>
      <color theme="0"/>
      <name val="Aptos"/>
      <family val="2"/>
    </font>
    <font>
      <i/>
      <sz val="8"/>
      <color theme="0"/>
      <name val="Aptos"/>
      <family val="2"/>
    </font>
    <font>
      <i/>
      <u/>
      <sz val="8"/>
      <name val="Aptos"/>
      <family val="2"/>
    </font>
    <font>
      <b/>
      <i/>
      <sz val="8"/>
      <color theme="6" tint="-0.499984740745262"/>
      <name val="Aptos"/>
      <family val="2"/>
    </font>
    <font>
      <b/>
      <sz val="12"/>
      <color theme="1"/>
      <name val="Arial"/>
      <family val="2"/>
    </font>
    <font>
      <sz val="10"/>
      <color theme="1"/>
      <name val="Arial"/>
      <family val="2"/>
    </font>
    <font>
      <sz val="9"/>
      <color theme="1"/>
      <name val="Arial"/>
      <family val="2"/>
    </font>
    <font>
      <b/>
      <sz val="9"/>
      <color theme="1"/>
      <name val="Arial"/>
      <family val="2"/>
    </font>
    <font>
      <b/>
      <sz val="10"/>
      <color theme="1"/>
      <name val="Arial"/>
      <family val="2"/>
    </font>
    <font>
      <u/>
      <sz val="11"/>
      <color theme="10"/>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rgb="FF00B0F0"/>
        <bgColor indexed="64"/>
      </patternFill>
    </fill>
    <fill>
      <patternFill patternType="solid">
        <fgColor theme="7" tint="0.79998168889431442"/>
        <bgColor indexed="64"/>
      </patternFill>
    </fill>
    <fill>
      <patternFill patternType="solid">
        <fgColor theme="7"/>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4"/>
        <bgColor indexed="64"/>
      </patternFill>
    </fill>
    <fill>
      <patternFill patternType="solid">
        <fgColor theme="9" tint="0.79998168889431442"/>
        <bgColor indexed="64"/>
      </patternFill>
    </fill>
    <fill>
      <patternFill patternType="solid">
        <fgColor rgb="FFFF0000"/>
        <bgColor indexed="64"/>
      </patternFill>
    </fill>
    <fill>
      <patternFill patternType="solid">
        <fgColor theme="2"/>
        <bgColor indexed="64"/>
      </patternFill>
    </fill>
    <fill>
      <patternFill patternType="solid">
        <fgColor theme="8"/>
        <bgColor indexed="64"/>
      </patternFill>
    </fill>
    <fill>
      <patternFill patternType="solid">
        <fgColor rgb="FFFFC000"/>
        <bgColor indexed="64"/>
      </patternFill>
    </fill>
    <fill>
      <patternFill patternType="solid">
        <fgColor rgb="FF00B050"/>
        <bgColor indexed="64"/>
      </patternFill>
    </fill>
    <fill>
      <patternFill patternType="solid">
        <fgColor theme="6"/>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168" fontId="3" fillId="0" borderId="0" applyFont="0" applyFill="0" applyBorder="0" applyAlignment="0" applyProtection="0"/>
    <xf numFmtId="0" fontId="51" fillId="0" borderId="0" applyNumberFormat="0" applyFill="0" applyBorder="0" applyAlignment="0" applyProtection="0"/>
  </cellStyleXfs>
  <cellXfs count="417">
    <xf numFmtId="0" fontId="0" fillId="0" borderId="0" xfId="0"/>
    <xf numFmtId="164" fontId="6" fillId="0" borderId="1" xfId="1" applyFont="1" applyBorder="1" applyAlignment="1">
      <alignment horizontal="left"/>
    </xf>
    <xf numFmtId="164" fontId="6" fillId="0" borderId="1" xfId="1" applyFont="1" applyBorder="1" applyAlignment="1">
      <alignment horizontal="center"/>
    </xf>
    <xf numFmtId="166" fontId="6" fillId="0" borderId="1" xfId="1" applyNumberFormat="1" applyFont="1" applyBorder="1" applyAlignment="1">
      <alignment horizontal="center"/>
    </xf>
    <xf numFmtId="164" fontId="6" fillId="2" borderId="1" xfId="1" applyFont="1" applyFill="1" applyBorder="1" applyAlignment="1">
      <alignment horizontal="left"/>
    </xf>
    <xf numFmtId="166" fontId="6" fillId="2" borderId="1" xfId="1" applyNumberFormat="1" applyFont="1" applyFill="1" applyBorder="1" applyAlignment="1">
      <alignment horizontal="center"/>
    </xf>
    <xf numFmtId="0" fontId="6" fillId="0" borderId="0" xfId="0" applyFont="1"/>
    <xf numFmtId="0" fontId="6" fillId="5" borderId="14" xfId="0" applyFont="1" applyFill="1" applyBorder="1"/>
    <xf numFmtId="166" fontId="6" fillId="5" borderId="15" xfId="0" applyNumberFormat="1" applyFont="1" applyFill="1" applyBorder="1"/>
    <xf numFmtId="164" fontId="6" fillId="5" borderId="11" xfId="1" applyFont="1" applyFill="1" applyBorder="1"/>
    <xf numFmtId="166" fontId="6" fillId="5" borderId="15" xfId="1" applyNumberFormat="1" applyFont="1" applyFill="1" applyBorder="1"/>
    <xf numFmtId="166" fontId="6" fillId="5" borderId="18" xfId="1" applyNumberFormat="1" applyFont="1" applyFill="1" applyBorder="1"/>
    <xf numFmtId="166" fontId="6" fillId="5" borderId="16" xfId="1" applyNumberFormat="1" applyFont="1" applyFill="1" applyBorder="1"/>
    <xf numFmtId="0" fontId="7" fillId="0" borderId="0" xfId="0" applyFont="1"/>
    <xf numFmtId="0" fontId="8" fillId="0" borderId="0" xfId="0" applyFont="1"/>
    <xf numFmtId="43" fontId="8" fillId="0" borderId="0" xfId="0" applyNumberFormat="1" applyFont="1"/>
    <xf numFmtId="166" fontId="8" fillId="0" borderId="0" xfId="0" applyNumberFormat="1" applyFont="1"/>
    <xf numFmtId="166" fontId="7" fillId="0" borderId="0" xfId="0" applyNumberFormat="1" applyFont="1"/>
    <xf numFmtId="166" fontId="0" fillId="0" borderId="0" xfId="0" applyNumberFormat="1"/>
    <xf numFmtId="9" fontId="10" fillId="0" borderId="23" xfId="2" applyFont="1" applyFill="1" applyBorder="1" applyAlignment="1" applyProtection="1">
      <alignment horizontal="left" vertical="center" wrapText="1"/>
      <protection locked="0"/>
    </xf>
    <xf numFmtId="0" fontId="19" fillId="0" borderId="2" xfId="0" applyFont="1" applyBorder="1" applyAlignment="1">
      <alignment horizontal="left"/>
    </xf>
    <xf numFmtId="0" fontId="19" fillId="0" borderId="9" xfId="0" applyFont="1" applyBorder="1" applyAlignment="1">
      <alignment horizontal="left"/>
    </xf>
    <xf numFmtId="166" fontId="19" fillId="4" borderId="9" xfId="1" applyNumberFormat="1" applyFont="1" applyFill="1" applyBorder="1" applyAlignment="1">
      <alignment horizontal="left"/>
    </xf>
    <xf numFmtId="0" fontId="19" fillId="4" borderId="9" xfId="0" applyFont="1" applyFill="1" applyBorder="1" applyAlignment="1">
      <alignment horizontal="left"/>
    </xf>
    <xf numFmtId="0" fontId="20" fillId="0" borderId="0" xfId="0" applyFont="1" applyAlignment="1">
      <alignment horizontal="left"/>
    </xf>
    <xf numFmtId="0" fontId="17" fillId="0" borderId="3" xfId="0" applyFont="1" applyBorder="1" applyAlignment="1">
      <alignment horizontal="left"/>
    </xf>
    <xf numFmtId="0" fontId="17" fillId="0" borderId="1" xfId="0" applyFont="1" applyBorder="1" applyAlignment="1">
      <alignment horizontal="left"/>
    </xf>
    <xf numFmtId="167" fontId="17" fillId="4" borderId="1" xfId="1" applyNumberFormat="1" applyFont="1" applyFill="1" applyBorder="1" applyAlignment="1">
      <alignment horizontal="left"/>
    </xf>
    <xf numFmtId="167" fontId="17" fillId="4" borderId="1" xfId="0" applyNumberFormat="1" applyFont="1" applyFill="1" applyBorder="1" applyAlignment="1">
      <alignment horizontal="left"/>
    </xf>
    <xf numFmtId="0" fontId="17" fillId="0" borderId="0" xfId="0" applyFont="1" applyAlignment="1">
      <alignment horizontal="left"/>
    </xf>
    <xf numFmtId="0" fontId="20" fillId="0" borderId="1" xfId="0" applyFont="1" applyBorder="1" applyAlignment="1">
      <alignment horizontal="left"/>
    </xf>
    <xf numFmtId="0" fontId="21" fillId="2" borderId="3" xfId="0" applyFont="1" applyFill="1" applyBorder="1" applyAlignment="1">
      <alignment horizontal="left"/>
    </xf>
    <xf numFmtId="0" fontId="19" fillId="2" borderId="1" xfId="0" applyFont="1" applyFill="1" applyBorder="1" applyAlignment="1">
      <alignment horizontal="left"/>
    </xf>
    <xf numFmtId="167" fontId="21" fillId="2" borderId="1" xfId="1" applyNumberFormat="1" applyFont="1" applyFill="1" applyBorder="1" applyAlignment="1">
      <alignment horizontal="left"/>
    </xf>
    <xf numFmtId="167" fontId="21" fillId="2" borderId="1" xfId="0" applyNumberFormat="1" applyFont="1" applyFill="1" applyBorder="1" applyAlignment="1">
      <alignment horizontal="left"/>
    </xf>
    <xf numFmtId="0" fontId="21" fillId="0" borderId="3" xfId="0" applyFont="1" applyBorder="1" applyAlignment="1">
      <alignment horizontal="left"/>
    </xf>
    <xf numFmtId="0" fontId="19" fillId="0" borderId="1" xfId="0" applyFont="1" applyBorder="1" applyAlignment="1">
      <alignment horizontal="left"/>
    </xf>
    <xf numFmtId="167" fontId="21" fillId="4" borderId="1" xfId="1" applyNumberFormat="1" applyFont="1" applyFill="1" applyBorder="1" applyAlignment="1">
      <alignment horizontal="left"/>
    </xf>
    <xf numFmtId="0" fontId="21" fillId="4" borderId="1" xfId="0" applyFont="1" applyFill="1" applyBorder="1" applyAlignment="1">
      <alignment horizontal="left"/>
    </xf>
    <xf numFmtId="167" fontId="17" fillId="0" borderId="0" xfId="0" applyNumberFormat="1" applyFont="1" applyAlignment="1">
      <alignment horizontal="left"/>
    </xf>
    <xf numFmtId="0" fontId="22" fillId="10" borderId="3" xfId="0" applyFont="1" applyFill="1" applyBorder="1" applyAlignment="1">
      <alignment horizontal="left"/>
    </xf>
    <xf numFmtId="0" fontId="22" fillId="10" borderId="1" xfId="0" applyFont="1" applyFill="1" applyBorder="1" applyAlignment="1">
      <alignment horizontal="left"/>
    </xf>
    <xf numFmtId="167" fontId="22" fillId="10" borderId="1" xfId="1" applyNumberFormat="1" applyFont="1" applyFill="1" applyBorder="1" applyAlignment="1">
      <alignment horizontal="left"/>
    </xf>
    <xf numFmtId="167" fontId="22" fillId="10" borderId="1" xfId="0" applyNumberFormat="1" applyFont="1" applyFill="1" applyBorder="1" applyAlignment="1">
      <alignment horizontal="left"/>
    </xf>
    <xf numFmtId="164" fontId="17" fillId="0" borderId="0" xfId="1" applyFont="1" applyAlignment="1">
      <alignment horizontal="left"/>
    </xf>
    <xf numFmtId="164" fontId="17" fillId="0" borderId="0" xfId="0" applyNumberFormat="1" applyFont="1" applyAlignment="1">
      <alignment horizontal="left"/>
    </xf>
    <xf numFmtId="0" fontId="17" fillId="4" borderId="1" xfId="0" applyFont="1" applyFill="1" applyBorder="1" applyAlignment="1">
      <alignment horizontal="left"/>
    </xf>
    <xf numFmtId="166" fontId="17" fillId="0" borderId="0" xfId="0" applyNumberFormat="1" applyFont="1" applyAlignment="1">
      <alignment horizontal="left"/>
    </xf>
    <xf numFmtId="43" fontId="17" fillId="0" borderId="0" xfId="0" applyNumberFormat="1" applyFont="1" applyAlignment="1">
      <alignment horizontal="left"/>
    </xf>
    <xf numFmtId="167" fontId="20" fillId="8" borderId="1" xfId="0" applyNumberFormat="1" applyFont="1" applyFill="1" applyBorder="1" applyAlignment="1">
      <alignment horizontal="left"/>
    </xf>
    <xf numFmtId="167" fontId="19" fillId="2" borderId="1" xfId="0" applyNumberFormat="1" applyFont="1" applyFill="1" applyBorder="1" applyAlignment="1">
      <alignment horizontal="left"/>
    </xf>
    <xf numFmtId="167" fontId="19" fillId="0" borderId="1" xfId="0" applyNumberFormat="1" applyFont="1" applyBorder="1" applyAlignment="1">
      <alignment horizontal="left"/>
    </xf>
    <xf numFmtId="166" fontId="21" fillId="2" borderId="1" xfId="1" applyNumberFormat="1" applyFont="1" applyFill="1" applyBorder="1" applyAlignment="1">
      <alignment horizontal="left"/>
    </xf>
    <xf numFmtId="166" fontId="20" fillId="2" borderId="1" xfId="1" applyNumberFormat="1" applyFont="1" applyFill="1" applyBorder="1" applyAlignment="1">
      <alignment horizontal="left"/>
    </xf>
    <xf numFmtId="0" fontId="19" fillId="8" borderId="9" xfId="0" applyFont="1" applyFill="1" applyBorder="1" applyAlignment="1">
      <alignment horizontal="left"/>
    </xf>
    <xf numFmtId="166" fontId="21" fillId="2" borderId="3" xfId="1" applyNumberFormat="1" applyFont="1" applyFill="1" applyBorder="1" applyAlignment="1">
      <alignment horizontal="left"/>
    </xf>
    <xf numFmtId="0" fontId="21" fillId="0" borderId="6" xfId="0" applyFont="1" applyBorder="1" applyAlignment="1">
      <alignment horizontal="left"/>
    </xf>
    <xf numFmtId="0" fontId="21" fillId="0" borderId="10" xfId="0" applyFont="1" applyBorder="1" applyAlignment="1">
      <alignment horizontal="left"/>
    </xf>
    <xf numFmtId="167" fontId="21" fillId="0" borderId="10" xfId="0" applyNumberFormat="1" applyFont="1" applyBorder="1" applyAlignment="1">
      <alignment horizontal="left"/>
    </xf>
    <xf numFmtId="167" fontId="21" fillId="4" borderId="10" xfId="0" applyNumberFormat="1" applyFont="1" applyFill="1" applyBorder="1" applyAlignment="1">
      <alignment horizontal="left"/>
    </xf>
    <xf numFmtId="0" fontId="25" fillId="0" borderId="0" xfId="0" applyFont="1" applyAlignment="1">
      <alignment vertical="center"/>
    </xf>
    <xf numFmtId="0" fontId="25" fillId="0" borderId="0" xfId="0" applyFont="1" applyAlignment="1">
      <alignment horizontal="left" vertical="center" indent="2"/>
    </xf>
    <xf numFmtId="170" fontId="25" fillId="0" borderId="0" xfId="0" applyNumberFormat="1" applyFont="1" applyAlignment="1">
      <alignment horizontal="center" vertical="center"/>
    </xf>
    <xf numFmtId="164" fontId="12" fillId="3" borderId="1" xfId="1" applyFont="1" applyFill="1" applyBorder="1" applyAlignment="1" applyProtection="1">
      <alignment horizontal="left" vertical="center" wrapText="1"/>
      <protection locked="0"/>
    </xf>
    <xf numFmtId="164" fontId="12" fillId="3" borderId="17" xfId="1" applyFont="1" applyFill="1" applyBorder="1" applyAlignment="1" applyProtection="1">
      <alignment horizontal="left" vertical="center" wrapText="1"/>
      <protection locked="0"/>
    </xf>
    <xf numFmtId="164" fontId="12" fillId="3" borderId="20" xfId="1" applyFont="1" applyFill="1" applyBorder="1" applyAlignment="1" applyProtection="1">
      <alignment horizontal="left" vertical="center" wrapText="1"/>
      <protection locked="0"/>
    </xf>
    <xf numFmtId="164" fontId="8" fillId="0" borderId="1" xfId="1" applyFont="1" applyBorder="1"/>
    <xf numFmtId="164" fontId="8" fillId="0" borderId="17" xfId="1" applyFont="1" applyBorder="1"/>
    <xf numFmtId="164" fontId="8" fillId="0" borderId="20" xfId="1" applyFont="1" applyBorder="1"/>
    <xf numFmtId="164" fontId="8" fillId="6" borderId="1" xfId="1" applyFont="1" applyFill="1" applyBorder="1"/>
    <xf numFmtId="164" fontId="8" fillId="6" borderId="20" xfId="1" applyFont="1" applyFill="1" applyBorder="1"/>
    <xf numFmtId="164" fontId="12" fillId="6" borderId="1" xfId="1" applyFont="1" applyFill="1" applyBorder="1"/>
    <xf numFmtId="164" fontId="12" fillId="6" borderId="17" xfId="1" applyFont="1" applyFill="1" applyBorder="1"/>
    <xf numFmtId="164" fontId="12" fillId="6" borderId="20" xfId="1" applyFont="1" applyFill="1" applyBorder="1"/>
    <xf numFmtId="164" fontId="8" fillId="0" borderId="1" xfId="1" applyFont="1" applyFill="1" applyBorder="1"/>
    <xf numFmtId="164" fontId="8" fillId="0" borderId="20" xfId="1" applyFont="1" applyFill="1" applyBorder="1"/>
    <xf numFmtId="164" fontId="8" fillId="9" borderId="1" xfId="1" applyFont="1" applyFill="1" applyBorder="1"/>
    <xf numFmtId="164" fontId="8" fillId="9" borderId="17" xfId="1" applyFont="1" applyFill="1" applyBorder="1"/>
    <xf numFmtId="164" fontId="8" fillId="9" borderId="20" xfId="1" applyFont="1" applyFill="1" applyBorder="1"/>
    <xf numFmtId="164" fontId="12" fillId="3" borderId="1" xfId="1" applyFont="1" applyFill="1" applyBorder="1" applyAlignment="1" applyProtection="1">
      <alignment horizontal="left" vertical="center"/>
    </xf>
    <xf numFmtId="164" fontId="12" fillId="3" borderId="17" xfId="1" applyFont="1" applyFill="1" applyBorder="1" applyAlignment="1" applyProtection="1">
      <alignment horizontal="left" vertical="center"/>
    </xf>
    <xf numFmtId="164" fontId="12" fillId="3" borderId="20" xfId="1" applyFont="1" applyFill="1" applyBorder="1" applyAlignment="1" applyProtection="1">
      <alignment horizontal="left" vertical="center"/>
    </xf>
    <xf numFmtId="164" fontId="12" fillId="0" borderId="1" xfId="1" applyFont="1" applyBorder="1"/>
    <xf numFmtId="164" fontId="12" fillId="0" borderId="17" xfId="1" applyFont="1" applyBorder="1"/>
    <xf numFmtId="164" fontId="12" fillId="0" borderId="20" xfId="1" applyFont="1" applyBorder="1"/>
    <xf numFmtId="164" fontId="12" fillId="4" borderId="1" xfId="1" applyFont="1" applyFill="1" applyBorder="1" applyAlignment="1" applyProtection="1">
      <alignment horizontal="left" vertical="center" wrapText="1"/>
      <protection locked="0"/>
    </xf>
    <xf numFmtId="164" fontId="12" fillId="4" borderId="17" xfId="1" applyFont="1" applyFill="1" applyBorder="1" applyAlignment="1" applyProtection="1">
      <alignment horizontal="left" vertical="center" wrapText="1"/>
      <protection locked="0"/>
    </xf>
    <xf numFmtId="164" fontId="12" fillId="4" borderId="20" xfId="1" applyFont="1" applyFill="1" applyBorder="1" applyAlignment="1" applyProtection="1">
      <alignment horizontal="left" vertical="center" wrapText="1"/>
      <protection locked="0"/>
    </xf>
    <xf numFmtId="164" fontId="14" fillId="0" borderId="1" xfId="1" applyFont="1" applyBorder="1"/>
    <xf numFmtId="164" fontId="14" fillId="0" borderId="17" xfId="1" applyFont="1" applyBorder="1"/>
    <xf numFmtId="164" fontId="10" fillId="0" borderId="1" xfId="1" applyFont="1" applyFill="1" applyBorder="1" applyAlignment="1" applyProtection="1">
      <alignment horizontal="left" vertical="center" wrapText="1"/>
      <protection locked="0"/>
    </xf>
    <xf numFmtId="164" fontId="10" fillId="0" borderId="20" xfId="1" applyFont="1" applyFill="1" applyBorder="1" applyAlignment="1" applyProtection="1">
      <alignment horizontal="left" vertical="center" wrapText="1"/>
      <protection locked="0"/>
    </xf>
    <xf numFmtId="9" fontId="12" fillId="4" borderId="1" xfId="2" applyFont="1" applyFill="1" applyBorder="1" applyAlignment="1" applyProtection="1">
      <alignment horizontal="left" vertical="center" wrapText="1"/>
      <protection locked="0"/>
    </xf>
    <xf numFmtId="9" fontId="12" fillId="4" borderId="17" xfId="2" applyFont="1" applyFill="1" applyBorder="1" applyAlignment="1" applyProtection="1">
      <alignment horizontal="left" vertical="center" wrapText="1"/>
      <protection locked="0"/>
    </xf>
    <xf numFmtId="9" fontId="12" fillId="4" borderId="20" xfId="2" applyFont="1" applyFill="1" applyBorder="1" applyAlignment="1" applyProtection="1">
      <alignment horizontal="left" vertical="center" wrapText="1"/>
      <protection locked="0"/>
    </xf>
    <xf numFmtId="9" fontId="12" fillId="3" borderId="1" xfId="2" applyFont="1" applyFill="1" applyBorder="1" applyAlignment="1" applyProtection="1">
      <alignment horizontal="left" vertical="center" wrapText="1"/>
      <protection locked="0"/>
    </xf>
    <xf numFmtId="9" fontId="12" fillId="3" borderId="17" xfId="2" applyFont="1" applyFill="1" applyBorder="1" applyAlignment="1" applyProtection="1">
      <alignment horizontal="left" vertical="center" wrapText="1"/>
      <protection locked="0"/>
    </xf>
    <xf numFmtId="9" fontId="12" fillId="3" borderId="20" xfId="2" applyFont="1" applyFill="1" applyBorder="1" applyAlignment="1" applyProtection="1">
      <alignment horizontal="left" vertical="center" wrapText="1"/>
      <protection locked="0"/>
    </xf>
    <xf numFmtId="9" fontId="12" fillId="3" borderId="1" xfId="2" applyFont="1" applyFill="1" applyBorder="1" applyAlignment="1" applyProtection="1">
      <alignment horizontal="left" vertical="center"/>
    </xf>
    <xf numFmtId="9" fontId="12" fillId="3" borderId="17" xfId="2" applyFont="1" applyFill="1" applyBorder="1" applyAlignment="1" applyProtection="1">
      <alignment horizontal="left" vertical="center"/>
    </xf>
    <xf numFmtId="9" fontId="12" fillId="3" borderId="20" xfId="2" applyFont="1" applyFill="1" applyBorder="1" applyAlignment="1" applyProtection="1">
      <alignment horizontal="left" vertical="center"/>
    </xf>
    <xf numFmtId="9" fontId="8" fillId="9" borderId="1" xfId="2" applyFont="1" applyFill="1" applyBorder="1"/>
    <xf numFmtId="9" fontId="8" fillId="9" borderId="17" xfId="2" applyFont="1" applyFill="1" applyBorder="1"/>
    <xf numFmtId="9" fontId="8" fillId="9" borderId="20" xfId="2" applyFont="1" applyFill="1" applyBorder="1"/>
    <xf numFmtId="164" fontId="25" fillId="0" borderId="0" xfId="1" applyFont="1" applyAlignment="1">
      <alignment horizontal="left" vertical="center" indent="2"/>
    </xf>
    <xf numFmtId="164" fontId="25" fillId="0" borderId="0" xfId="1" applyFont="1" applyAlignment="1">
      <alignment horizontal="center" vertical="center"/>
    </xf>
    <xf numFmtId="164" fontId="16" fillId="0" borderId="1" xfId="1" applyFont="1" applyFill="1" applyBorder="1" applyAlignment="1" applyProtection="1">
      <alignment horizontal="left" vertical="center" wrapText="1"/>
      <protection locked="0"/>
    </xf>
    <xf numFmtId="9" fontId="16" fillId="0" borderId="1" xfId="2" applyFont="1" applyFill="1" applyBorder="1" applyAlignment="1" applyProtection="1">
      <alignment horizontal="left" vertical="center" wrapText="1"/>
      <protection locked="0"/>
    </xf>
    <xf numFmtId="9" fontId="10" fillId="0" borderId="1" xfId="2" applyFont="1" applyFill="1" applyBorder="1" applyAlignment="1" applyProtection="1">
      <alignment horizontal="left" vertical="center" wrapText="1"/>
      <protection locked="0"/>
    </xf>
    <xf numFmtId="166" fontId="12" fillId="3" borderId="1" xfId="1" applyNumberFormat="1" applyFont="1" applyFill="1" applyBorder="1" applyAlignment="1" applyProtection="1">
      <alignment horizontal="left" vertical="center" wrapText="1"/>
      <protection locked="0"/>
    </xf>
    <xf numFmtId="166" fontId="11" fillId="11" borderId="1" xfId="1" applyNumberFormat="1" applyFont="1" applyFill="1" applyBorder="1" applyAlignment="1" applyProtection="1">
      <alignment horizontal="left" vertical="center" wrapText="1"/>
      <protection locked="0"/>
    </xf>
    <xf numFmtId="166" fontId="11" fillId="2" borderId="1" xfId="1" applyNumberFormat="1" applyFont="1" applyFill="1" applyBorder="1" applyAlignment="1" applyProtection="1">
      <alignment horizontal="left" vertical="center" wrapText="1"/>
      <protection locked="0"/>
    </xf>
    <xf numFmtId="164" fontId="12" fillId="13" borderId="1" xfId="1" applyFont="1" applyFill="1" applyBorder="1" applyAlignment="1" applyProtection="1">
      <alignment horizontal="left" vertical="center" wrapText="1"/>
      <protection locked="0"/>
    </xf>
    <xf numFmtId="10" fontId="12" fillId="3" borderId="1" xfId="1" applyNumberFormat="1" applyFont="1" applyFill="1" applyBorder="1" applyAlignment="1" applyProtection="1">
      <alignment horizontal="left" vertical="center" wrapText="1"/>
      <protection locked="0"/>
    </xf>
    <xf numFmtId="166" fontId="12" fillId="4" borderId="1" xfId="1" applyNumberFormat="1" applyFont="1" applyFill="1" applyBorder="1" applyAlignment="1" applyProtection="1">
      <alignment horizontal="left" vertical="center" wrapText="1"/>
      <protection locked="0"/>
    </xf>
    <xf numFmtId="164" fontId="14" fillId="13" borderId="1" xfId="1" applyFont="1" applyFill="1" applyBorder="1" applyAlignment="1" applyProtection="1">
      <alignment horizontal="left" vertical="center" wrapText="1"/>
      <protection locked="0"/>
    </xf>
    <xf numFmtId="9" fontId="14" fillId="13" borderId="1" xfId="2" applyFont="1" applyFill="1" applyBorder="1" applyAlignment="1" applyProtection="1">
      <alignment horizontal="left" vertical="center" wrapText="1"/>
      <protection locked="0"/>
    </xf>
    <xf numFmtId="166" fontId="12" fillId="3" borderId="17" xfId="1" applyNumberFormat="1" applyFont="1" applyFill="1" applyBorder="1" applyAlignment="1" applyProtection="1">
      <alignment horizontal="left" vertical="center" wrapText="1"/>
      <protection locked="0"/>
    </xf>
    <xf numFmtId="166" fontId="11" fillId="2" borderId="17" xfId="1" applyNumberFormat="1" applyFont="1" applyFill="1" applyBorder="1" applyAlignment="1" applyProtection="1">
      <alignment horizontal="left" vertical="center" wrapText="1"/>
      <protection locked="0"/>
    </xf>
    <xf numFmtId="166" fontId="11" fillId="11" borderId="17" xfId="1" applyNumberFormat="1" applyFont="1" applyFill="1" applyBorder="1" applyAlignment="1" applyProtection="1">
      <alignment horizontal="left" vertical="center" wrapText="1"/>
      <protection locked="0"/>
    </xf>
    <xf numFmtId="10" fontId="12" fillId="3" borderId="17" xfId="1" applyNumberFormat="1" applyFont="1" applyFill="1" applyBorder="1" applyAlignment="1" applyProtection="1">
      <alignment horizontal="left" vertical="center" wrapText="1"/>
      <protection locked="0"/>
    </xf>
    <xf numFmtId="164" fontId="12" fillId="13" borderId="17" xfId="1" applyFont="1" applyFill="1" applyBorder="1" applyAlignment="1" applyProtection="1">
      <alignment horizontal="left" vertical="center" wrapText="1"/>
      <protection locked="0"/>
    </xf>
    <xf numFmtId="166" fontId="12" fillId="3" borderId="20" xfId="1" applyNumberFormat="1" applyFont="1" applyFill="1" applyBorder="1" applyAlignment="1" applyProtection="1">
      <alignment horizontal="left" vertical="center" wrapText="1"/>
      <protection locked="0"/>
    </xf>
    <xf numFmtId="166" fontId="11" fillId="2" borderId="20" xfId="1" applyNumberFormat="1" applyFont="1" applyFill="1" applyBorder="1" applyAlignment="1" applyProtection="1">
      <alignment horizontal="left" vertical="center" wrapText="1"/>
      <protection locked="0"/>
    </xf>
    <xf numFmtId="166" fontId="11" fillId="11" borderId="20" xfId="1" applyNumberFormat="1" applyFont="1" applyFill="1" applyBorder="1" applyAlignment="1" applyProtection="1">
      <alignment horizontal="left" vertical="center" wrapText="1"/>
      <protection locked="0"/>
    </xf>
    <xf numFmtId="164" fontId="12" fillId="13" borderId="20" xfId="1" applyFont="1" applyFill="1" applyBorder="1" applyAlignment="1" applyProtection="1">
      <alignment horizontal="left" vertical="center" wrapText="1"/>
      <protection locked="0"/>
    </xf>
    <xf numFmtId="9" fontId="12" fillId="13" borderId="20" xfId="2" applyFont="1" applyFill="1" applyBorder="1" applyAlignment="1" applyProtection="1">
      <alignment horizontal="left" vertical="center" wrapText="1"/>
      <protection locked="0"/>
    </xf>
    <xf numFmtId="0" fontId="33" fillId="0" borderId="0" xfId="0" applyFont="1"/>
    <xf numFmtId="164" fontId="33" fillId="0" borderId="0" xfId="1" applyFont="1" applyFill="1" applyBorder="1"/>
    <xf numFmtId="9" fontId="33" fillId="0" borderId="0" xfId="0" applyNumberFormat="1" applyFont="1"/>
    <xf numFmtId="166" fontId="0" fillId="0" borderId="0" xfId="1" applyNumberFormat="1" applyFont="1" applyFill="1" applyBorder="1"/>
    <xf numFmtId="0" fontId="34" fillId="0" borderId="1" xfId="0" applyFont="1" applyBorder="1"/>
    <xf numFmtId="166" fontId="35" fillId="0" borderId="1" xfId="1" applyNumberFormat="1" applyFont="1" applyFill="1" applyBorder="1"/>
    <xf numFmtId="9" fontId="34" fillId="0" borderId="1" xfId="0" applyNumberFormat="1" applyFont="1" applyBorder="1"/>
    <xf numFmtId="166" fontId="34" fillId="0" borderId="1" xfId="1" applyNumberFormat="1" applyFont="1" applyFill="1" applyBorder="1"/>
    <xf numFmtId="166" fontId="35" fillId="0" borderId="1" xfId="1" applyNumberFormat="1" applyFont="1" applyBorder="1"/>
    <xf numFmtId="0" fontId="34" fillId="0" borderId="31" xfId="0" applyFont="1" applyBorder="1"/>
    <xf numFmtId="166" fontId="35" fillId="0" borderId="31" xfId="1" applyNumberFormat="1" applyFont="1" applyFill="1" applyBorder="1"/>
    <xf numFmtId="166" fontId="34" fillId="0" borderId="31" xfId="1" applyNumberFormat="1" applyFont="1" applyFill="1" applyBorder="1"/>
    <xf numFmtId="166" fontId="35" fillId="0" borderId="31" xfId="1" applyNumberFormat="1" applyFont="1" applyBorder="1"/>
    <xf numFmtId="0" fontId="34" fillId="0" borderId="6" xfId="0" applyFont="1" applyBorder="1"/>
    <xf numFmtId="0" fontId="36" fillId="0" borderId="2" xfId="0" applyFont="1" applyBorder="1"/>
    <xf numFmtId="0" fontId="36" fillId="0" borderId="9" xfId="0" applyFont="1" applyBorder="1"/>
    <xf numFmtId="166" fontId="37" fillId="0" borderId="9" xfId="1" applyNumberFormat="1" applyFont="1" applyFill="1" applyBorder="1"/>
    <xf numFmtId="166" fontId="36" fillId="0" borderId="9" xfId="1" applyNumberFormat="1" applyFont="1" applyFill="1" applyBorder="1"/>
    <xf numFmtId="166" fontId="37" fillId="0" borderId="9" xfId="1" applyNumberFormat="1" applyFont="1" applyBorder="1"/>
    <xf numFmtId="166" fontId="37" fillId="0" borderId="8" xfId="1" applyNumberFormat="1" applyFont="1" applyBorder="1"/>
    <xf numFmtId="166" fontId="37" fillId="0" borderId="10" xfId="1" applyNumberFormat="1" applyFont="1" applyFill="1" applyBorder="1"/>
    <xf numFmtId="166" fontId="36" fillId="0" borderId="10" xfId="1" applyNumberFormat="1" applyFont="1" applyFill="1" applyBorder="1"/>
    <xf numFmtId="166" fontId="37" fillId="0" borderId="10" xfId="1" applyNumberFormat="1" applyFont="1" applyBorder="1"/>
    <xf numFmtId="166" fontId="37" fillId="0" borderId="7" xfId="1" applyNumberFormat="1" applyFont="1" applyBorder="1"/>
    <xf numFmtId="0" fontId="38" fillId="0" borderId="6" xfId="0" applyFont="1" applyBorder="1"/>
    <xf numFmtId="0" fontId="38" fillId="0" borderId="10" xfId="0" applyFont="1" applyBorder="1"/>
    <xf numFmtId="166" fontId="39" fillId="0" borderId="10" xfId="1" applyNumberFormat="1" applyFont="1" applyFill="1" applyBorder="1"/>
    <xf numFmtId="166" fontId="38" fillId="0" borderId="10" xfId="1" applyNumberFormat="1" applyFont="1" applyFill="1" applyBorder="1"/>
    <xf numFmtId="166" fontId="39" fillId="0" borderId="10" xfId="1" applyNumberFormat="1" applyFont="1" applyBorder="1"/>
    <xf numFmtId="166" fontId="39" fillId="0" borderId="7" xfId="1" applyNumberFormat="1" applyFont="1" applyBorder="1"/>
    <xf numFmtId="37" fontId="26" fillId="3" borderId="22" xfId="3" applyNumberFormat="1" applyFont="1" applyFill="1" applyBorder="1" applyAlignment="1" applyProtection="1">
      <alignment horizontal="left" vertical="center" wrapText="1"/>
      <protection locked="0"/>
    </xf>
    <xf numFmtId="37" fontId="26" fillId="3" borderId="32" xfId="3" applyNumberFormat="1" applyFont="1" applyFill="1" applyBorder="1" applyAlignment="1" applyProtection="1">
      <alignment horizontal="left" vertical="center" wrapText="1"/>
      <protection locked="0"/>
    </xf>
    <xf numFmtId="37" fontId="26" fillId="3" borderId="32" xfId="3" applyNumberFormat="1" applyFont="1" applyFill="1" applyBorder="1" applyAlignment="1" applyProtection="1">
      <alignment horizontal="center" vertical="center" wrapText="1"/>
      <protection locked="0"/>
    </xf>
    <xf numFmtId="37" fontId="26" fillId="3" borderId="30" xfId="3" applyNumberFormat="1" applyFont="1" applyFill="1" applyBorder="1" applyAlignment="1" applyProtection="1">
      <alignment horizontal="center" vertical="center" wrapText="1"/>
      <protection locked="0"/>
    </xf>
    <xf numFmtId="0" fontId="34" fillId="0" borderId="12" xfId="0" applyFont="1" applyBorder="1"/>
    <xf numFmtId="166" fontId="35" fillId="0" borderId="13" xfId="1" applyNumberFormat="1" applyFont="1" applyBorder="1"/>
    <xf numFmtId="0" fontId="34" fillId="0" borderId="3" xfId="0" applyFont="1" applyBorder="1"/>
    <xf numFmtId="166" fontId="35" fillId="0" borderId="4" xfId="1" applyNumberFormat="1" applyFont="1" applyBorder="1"/>
    <xf numFmtId="9" fontId="36" fillId="0" borderId="10" xfId="0" applyNumberFormat="1" applyFont="1" applyBorder="1"/>
    <xf numFmtId="164" fontId="6" fillId="0" borderId="0" xfId="1" applyFont="1" applyFill="1" applyBorder="1"/>
    <xf numFmtId="43" fontId="0" fillId="0" borderId="0" xfId="0" applyNumberFormat="1"/>
    <xf numFmtId="164" fontId="23" fillId="11" borderId="13" xfId="1" applyFont="1" applyFill="1" applyBorder="1" applyAlignment="1" applyProtection="1">
      <alignment horizontal="center" vertical="center"/>
      <protection locked="0"/>
    </xf>
    <xf numFmtId="164" fontId="23" fillId="11" borderId="4" xfId="1" applyFont="1" applyFill="1" applyBorder="1" applyAlignment="1" applyProtection="1">
      <alignment horizontal="center" vertical="center"/>
      <protection locked="0"/>
    </xf>
    <xf numFmtId="166" fontId="12" fillId="11" borderId="4" xfId="1" applyNumberFormat="1" applyFont="1" applyFill="1" applyBorder="1" applyAlignment="1" applyProtection="1">
      <alignment horizontal="center" vertical="center"/>
      <protection locked="0"/>
    </xf>
    <xf numFmtId="166" fontId="11" fillId="2" borderId="4" xfId="1" applyNumberFormat="1" applyFont="1" applyFill="1" applyBorder="1" applyAlignment="1" applyProtection="1">
      <alignment horizontal="center" vertical="center"/>
      <protection locked="0"/>
    </xf>
    <xf numFmtId="166" fontId="12" fillId="0" borderId="4" xfId="1" applyNumberFormat="1" applyFont="1" applyFill="1" applyBorder="1" applyAlignment="1" applyProtection="1">
      <alignment horizontal="center" vertical="center"/>
      <protection locked="0"/>
    </xf>
    <xf numFmtId="166" fontId="13" fillId="12" borderId="4" xfId="1" applyNumberFormat="1" applyFont="1" applyFill="1" applyBorder="1" applyAlignment="1" applyProtection="1">
      <alignment horizontal="center" vertical="center"/>
      <protection locked="0"/>
    </xf>
    <xf numFmtId="166" fontId="18" fillId="0" borderId="4" xfId="1" applyNumberFormat="1" applyFont="1" applyBorder="1" applyAlignment="1" applyProtection="1">
      <alignment horizontal="center" vertical="center"/>
      <protection locked="0"/>
    </xf>
    <xf numFmtId="166" fontId="12" fillId="0" borderId="4" xfId="1" applyNumberFormat="1" applyFont="1" applyBorder="1" applyAlignment="1">
      <alignment horizontal="center"/>
    </xf>
    <xf numFmtId="166" fontId="12" fillId="0" borderId="4" xfId="1" applyNumberFormat="1" applyFont="1" applyFill="1" applyBorder="1" applyAlignment="1">
      <alignment horizontal="center"/>
    </xf>
    <xf numFmtId="166" fontId="14" fillId="0" borderId="4" xfId="1" applyNumberFormat="1" applyFont="1" applyFill="1" applyBorder="1" applyAlignment="1">
      <alignment horizontal="center"/>
    </xf>
    <xf numFmtId="166" fontId="11" fillId="3" borderId="4" xfId="1" applyNumberFormat="1" applyFont="1" applyFill="1" applyBorder="1" applyAlignment="1" applyProtection="1">
      <alignment horizontal="center" vertical="center"/>
      <protection locked="0"/>
    </xf>
    <xf numFmtId="166" fontId="13" fillId="12" borderId="7" xfId="1" applyNumberFormat="1" applyFont="1" applyFill="1" applyBorder="1" applyAlignment="1">
      <alignment horizontal="center"/>
    </xf>
    <xf numFmtId="0" fontId="36" fillId="0" borderId="27" xfId="0" applyFont="1" applyBorder="1"/>
    <xf numFmtId="0" fontId="36" fillId="0" borderId="33" xfId="0" applyFont="1" applyBorder="1"/>
    <xf numFmtId="166" fontId="37" fillId="0" borderId="33" xfId="1" applyNumberFormat="1" applyFont="1" applyFill="1" applyBorder="1"/>
    <xf numFmtId="166" fontId="36" fillId="0" borderId="33" xfId="1" applyNumberFormat="1" applyFont="1" applyFill="1" applyBorder="1"/>
    <xf numFmtId="166" fontId="37" fillId="0" borderId="33" xfId="1" applyNumberFormat="1" applyFont="1" applyBorder="1"/>
    <xf numFmtId="166" fontId="37" fillId="0" borderId="28" xfId="1" applyNumberFormat="1" applyFont="1" applyBorder="1"/>
    <xf numFmtId="166" fontId="11" fillId="16" borderId="1" xfId="1" applyNumberFormat="1" applyFont="1" applyFill="1" applyBorder="1" applyAlignment="1" applyProtection="1">
      <alignment horizontal="left" vertical="center" wrapText="1"/>
      <protection locked="0"/>
    </xf>
    <xf numFmtId="166" fontId="11" fillId="16" borderId="17" xfId="1" applyNumberFormat="1" applyFont="1" applyFill="1" applyBorder="1" applyAlignment="1" applyProtection="1">
      <alignment horizontal="left" vertical="center" wrapText="1"/>
      <protection locked="0"/>
    </xf>
    <xf numFmtId="166" fontId="11" fillId="16" borderId="20" xfId="1" applyNumberFormat="1" applyFont="1" applyFill="1" applyBorder="1" applyAlignment="1" applyProtection="1">
      <alignment horizontal="left" vertical="center" wrapText="1"/>
      <protection locked="0"/>
    </xf>
    <xf numFmtId="166" fontId="10" fillId="2" borderId="4" xfId="1" applyNumberFormat="1" applyFont="1" applyFill="1" applyBorder="1" applyAlignment="1" applyProtection="1">
      <alignment horizontal="center" vertical="center"/>
      <protection locked="0"/>
    </xf>
    <xf numFmtId="10" fontId="8" fillId="0" borderId="0" xfId="0" applyNumberFormat="1" applyFont="1"/>
    <xf numFmtId="0" fontId="41" fillId="0" borderId="1" xfId="0" applyFont="1" applyBorder="1"/>
    <xf numFmtId="0" fontId="8" fillId="0" borderId="1" xfId="0" applyFont="1" applyBorder="1"/>
    <xf numFmtId="0" fontId="8" fillId="2" borderId="1" xfId="0" applyFont="1" applyFill="1" applyBorder="1"/>
    <xf numFmtId="166" fontId="8" fillId="0" borderId="1" xfId="0" applyNumberFormat="1" applyFont="1" applyBorder="1"/>
    <xf numFmtId="0" fontId="14" fillId="0" borderId="1" xfId="0" applyFont="1" applyBorder="1"/>
    <xf numFmtId="0" fontId="31" fillId="0" borderId="13" xfId="0" applyFont="1" applyBorder="1" applyAlignment="1">
      <alignment horizontal="center" vertical="center"/>
    </xf>
    <xf numFmtId="0" fontId="43" fillId="17" borderId="24" xfId="0" applyFont="1" applyFill="1" applyBorder="1" applyAlignment="1">
      <alignment vertical="center"/>
    </xf>
    <xf numFmtId="166" fontId="29" fillId="0" borderId="4" xfId="1" applyNumberFormat="1" applyFont="1" applyBorder="1" applyAlignment="1">
      <alignment horizontal="left" vertical="center" indent="2"/>
    </xf>
    <xf numFmtId="0" fontId="29" fillId="0" borderId="0" xfId="0" applyFont="1" applyAlignment="1">
      <alignment vertical="center"/>
    </xf>
    <xf numFmtId="9" fontId="31" fillId="0" borderId="1" xfId="0" applyNumberFormat="1" applyFont="1" applyBorder="1" applyAlignment="1">
      <alignment horizontal="left" vertical="center" indent="2"/>
    </xf>
    <xf numFmtId="166" fontId="31" fillId="0" borderId="1" xfId="1" applyNumberFormat="1" applyFont="1" applyBorder="1" applyAlignment="1">
      <alignment horizontal="center" vertical="center"/>
    </xf>
    <xf numFmtId="166" fontId="31" fillId="0" borderId="1" xfId="0" applyNumberFormat="1" applyFont="1" applyBorder="1" applyAlignment="1">
      <alignment vertical="center"/>
    </xf>
    <xf numFmtId="0" fontId="29" fillId="0" borderId="0" xfId="0" applyFont="1" applyAlignment="1">
      <alignment horizontal="left" vertical="center" indent="2"/>
    </xf>
    <xf numFmtId="9" fontId="29" fillId="0" borderId="0" xfId="0" applyNumberFormat="1" applyFont="1" applyAlignment="1">
      <alignment horizontal="left" vertical="center" indent="2"/>
    </xf>
    <xf numFmtId="166" fontId="29" fillId="0" borderId="0" xfId="1" applyNumberFormat="1" applyFont="1" applyBorder="1" applyAlignment="1">
      <alignment horizontal="center" vertical="center"/>
    </xf>
    <xf numFmtId="166" fontId="29" fillId="0" borderId="0" xfId="0" applyNumberFormat="1" applyFont="1" applyAlignment="1">
      <alignment vertical="center"/>
    </xf>
    <xf numFmtId="166" fontId="29" fillId="0" borderId="0" xfId="1" applyNumberFormat="1" applyFont="1" applyBorder="1" applyAlignment="1">
      <alignment vertical="center"/>
    </xf>
    <xf numFmtId="0" fontId="44" fillId="2" borderId="22" xfId="0" applyFont="1" applyFill="1" applyBorder="1" applyAlignment="1">
      <alignment vertical="top"/>
    </xf>
    <xf numFmtId="166" fontId="45" fillId="2" borderId="30" xfId="1" applyNumberFormat="1" applyFont="1" applyFill="1" applyBorder="1" applyAlignment="1">
      <alignment horizontal="left" vertical="center" indent="2"/>
    </xf>
    <xf numFmtId="0" fontId="29" fillId="0" borderId="2" xfId="0" applyFont="1" applyBorder="1" applyAlignment="1">
      <alignment horizontal="left" vertical="center" indent="2"/>
    </xf>
    <xf numFmtId="166" fontId="31" fillId="0" borderId="8" xfId="1" applyNumberFormat="1" applyFont="1" applyFill="1" applyBorder="1" applyAlignment="1">
      <alignment horizontal="left" vertical="center" indent="2"/>
    </xf>
    <xf numFmtId="166" fontId="29" fillId="0" borderId="4" xfId="1" applyNumberFormat="1" applyFont="1" applyFill="1" applyBorder="1" applyAlignment="1">
      <alignment horizontal="center" vertical="center"/>
    </xf>
    <xf numFmtId="166" fontId="29" fillId="0" borderId="21" xfId="1" applyNumberFormat="1" applyFont="1" applyFill="1" applyBorder="1" applyAlignment="1">
      <alignment horizontal="center" vertical="center"/>
    </xf>
    <xf numFmtId="166" fontId="29" fillId="0" borderId="28" xfId="1" applyNumberFormat="1" applyFont="1" applyFill="1" applyBorder="1" applyAlignment="1">
      <alignment horizontal="center" vertical="center"/>
    </xf>
    <xf numFmtId="166" fontId="32" fillId="11" borderId="16" xfId="1" applyNumberFormat="1" applyFont="1" applyFill="1" applyBorder="1" applyAlignment="1">
      <alignment horizontal="center" vertical="center"/>
    </xf>
    <xf numFmtId="164" fontId="29" fillId="0" borderId="0" xfId="1" applyFont="1" applyBorder="1" applyAlignment="1">
      <alignment vertical="center"/>
    </xf>
    <xf numFmtId="164" fontId="29" fillId="0" borderId="0" xfId="1" applyFont="1" applyAlignment="1">
      <alignment horizontal="left" vertical="center" indent="2"/>
    </xf>
    <xf numFmtId="164" fontId="29" fillId="0" borderId="0" xfId="1" applyFont="1" applyAlignment="1">
      <alignment horizontal="center" vertical="center"/>
    </xf>
    <xf numFmtId="0" fontId="32" fillId="0" borderId="3" xfId="0" applyFont="1" applyBorder="1" applyAlignment="1">
      <alignment vertical="center"/>
    </xf>
    <xf numFmtId="0" fontId="31" fillId="0" borderId="3" xfId="0" applyFont="1" applyBorder="1" applyAlignment="1">
      <alignment vertical="center"/>
    </xf>
    <xf numFmtId="0" fontId="31" fillId="0" borderId="5" xfId="0" applyFont="1" applyBorder="1" applyAlignment="1">
      <alignment vertical="center"/>
    </xf>
    <xf numFmtId="0" fontId="31" fillId="0" borderId="27" xfId="0" applyFont="1" applyBorder="1" applyAlignment="1">
      <alignment vertical="center"/>
    </xf>
    <xf numFmtId="0" fontId="32" fillId="11" borderId="14" xfId="0" applyFont="1" applyFill="1" applyBorder="1" applyAlignment="1">
      <alignment vertical="center"/>
    </xf>
    <xf numFmtId="164" fontId="28" fillId="0" borderId="2" xfId="1" applyFont="1" applyBorder="1" applyAlignment="1">
      <alignment horizontal="center"/>
    </xf>
    <xf numFmtId="164" fontId="28" fillId="0" borderId="9" xfId="1" applyFont="1" applyBorder="1" applyAlignment="1">
      <alignment horizontal="center"/>
    </xf>
    <xf numFmtId="164" fontId="28" fillId="0" borderId="8" xfId="1" applyFont="1" applyBorder="1" applyAlignment="1">
      <alignment horizontal="center"/>
    </xf>
    <xf numFmtId="164" fontId="6" fillId="0" borderId="3" xfId="1" applyFont="1" applyBorder="1" applyAlignment="1">
      <alignment horizontal="left"/>
    </xf>
    <xf numFmtId="164" fontId="6" fillId="0" borderId="4" xfId="1" applyFont="1" applyBorder="1" applyAlignment="1">
      <alignment horizontal="left"/>
    </xf>
    <xf numFmtId="164" fontId="6" fillId="0" borderId="4" xfId="1" applyFont="1" applyBorder="1" applyAlignment="1">
      <alignment horizontal="center"/>
    </xf>
    <xf numFmtId="164" fontId="28" fillId="0" borderId="6" xfId="1" applyFont="1" applyBorder="1" applyAlignment="1">
      <alignment horizontal="left"/>
    </xf>
    <xf numFmtId="164" fontId="28" fillId="0" borderId="10" xfId="1" applyFont="1" applyBorder="1" applyAlignment="1">
      <alignment horizontal="center"/>
    </xf>
    <xf numFmtId="164" fontId="28" fillId="0" borderId="10" xfId="1" applyFont="1" applyBorder="1" applyAlignment="1">
      <alignment horizontal="left"/>
    </xf>
    <xf numFmtId="164" fontId="28" fillId="0" borderId="7" xfId="1" applyFont="1" applyBorder="1" applyAlignment="1">
      <alignment horizontal="left"/>
    </xf>
    <xf numFmtId="0" fontId="31" fillId="0" borderId="1" xfId="0" applyFont="1" applyBorder="1" applyAlignment="1">
      <alignment horizontal="left" vertical="center" indent="2"/>
    </xf>
    <xf numFmtId="166" fontId="31" fillId="0" borderId="1" xfId="0" applyNumberFormat="1" applyFont="1" applyBorder="1" applyAlignment="1">
      <alignment horizontal="left" vertical="center" indent="2"/>
    </xf>
    <xf numFmtId="170" fontId="31" fillId="0" borderId="1" xfId="0" applyNumberFormat="1" applyFont="1" applyBorder="1" applyAlignment="1">
      <alignment horizontal="center" vertical="center"/>
    </xf>
    <xf numFmtId="0" fontId="31" fillId="0" borderId="1" xfId="0" applyFont="1" applyBorder="1" applyAlignment="1">
      <alignment vertical="center"/>
    </xf>
    <xf numFmtId="166" fontId="31" fillId="0" borderId="1" xfId="1" applyNumberFormat="1" applyFont="1" applyBorder="1" applyAlignment="1">
      <alignment vertical="center"/>
    </xf>
    <xf numFmtId="9" fontId="31" fillId="0" borderId="1" xfId="1" applyNumberFormat="1" applyFont="1" applyBorder="1" applyAlignment="1">
      <alignment vertical="center"/>
    </xf>
    <xf numFmtId="0" fontId="42" fillId="14" borderId="1" xfId="0" applyFont="1" applyFill="1" applyBorder="1" applyAlignment="1">
      <alignment horizontal="left" vertical="center" indent="2"/>
    </xf>
    <xf numFmtId="9" fontId="42" fillId="14" borderId="1" xfId="0" applyNumberFormat="1" applyFont="1" applyFill="1" applyBorder="1" applyAlignment="1">
      <alignment horizontal="left" vertical="center" indent="2"/>
    </xf>
    <xf numFmtId="166" fontId="42" fillId="14" borderId="1" xfId="1" applyNumberFormat="1" applyFont="1" applyFill="1" applyBorder="1" applyAlignment="1">
      <alignment horizontal="center" vertical="center"/>
    </xf>
    <xf numFmtId="166" fontId="42" fillId="14" borderId="1" xfId="0" applyNumberFormat="1" applyFont="1" applyFill="1" applyBorder="1" applyAlignment="1">
      <alignment vertical="center"/>
    </xf>
    <xf numFmtId="166" fontId="42" fillId="14" borderId="1" xfId="1" applyNumberFormat="1" applyFont="1" applyFill="1" applyBorder="1" applyAlignment="1">
      <alignment vertical="center"/>
    </xf>
    <xf numFmtId="0" fontId="43" fillId="17" borderId="24" xfId="0" applyFont="1" applyFill="1" applyBorder="1" applyAlignment="1">
      <alignment horizontal="left" vertical="center" indent="2"/>
    </xf>
    <xf numFmtId="0" fontId="31" fillId="0" borderId="34" xfId="0" applyFont="1" applyBorder="1" applyAlignment="1">
      <alignment horizontal="center" vertical="center"/>
    </xf>
    <xf numFmtId="166" fontId="29" fillId="0" borderId="35" xfId="1" applyNumberFormat="1" applyFont="1" applyBorder="1" applyAlignment="1">
      <alignment horizontal="left" vertical="center" indent="2"/>
    </xf>
    <xf numFmtId="0" fontId="42" fillId="17" borderId="11" xfId="0" applyFont="1" applyFill="1" applyBorder="1" applyAlignment="1">
      <alignment horizontal="left" vertical="center" indent="2"/>
    </xf>
    <xf numFmtId="0" fontId="31" fillId="0" borderId="36" xfId="0" applyFont="1" applyBorder="1" applyAlignment="1">
      <alignment horizontal="center" vertical="center"/>
    </xf>
    <xf numFmtId="0" fontId="29" fillId="0" borderId="20" xfId="0" applyFont="1" applyBorder="1" applyAlignment="1">
      <alignment vertical="center"/>
    </xf>
    <xf numFmtId="0" fontId="29" fillId="0" borderId="29" xfId="0" applyFont="1" applyBorder="1" applyAlignment="1">
      <alignment vertical="center"/>
    </xf>
    <xf numFmtId="166" fontId="29" fillId="0" borderId="37" xfId="1" applyNumberFormat="1" applyFont="1" applyBorder="1" applyAlignment="1">
      <alignment horizontal="left" vertical="center" indent="2"/>
    </xf>
    <xf numFmtId="166" fontId="29" fillId="0" borderId="21" xfId="1" applyNumberFormat="1" applyFont="1" applyBorder="1" applyAlignment="1">
      <alignment horizontal="left" vertical="center" indent="2"/>
    </xf>
    <xf numFmtId="0" fontId="29" fillId="2" borderId="11" xfId="0" applyFont="1" applyFill="1" applyBorder="1" applyAlignment="1">
      <alignment vertical="center"/>
    </xf>
    <xf numFmtId="166" fontId="29" fillId="2" borderId="24" xfId="1" applyNumberFormat="1" applyFont="1" applyFill="1" applyBorder="1" applyAlignment="1">
      <alignment horizontal="left" vertical="center" indent="2"/>
    </xf>
    <xf numFmtId="166" fontId="29" fillId="2" borderId="16" xfId="1" applyNumberFormat="1" applyFont="1" applyFill="1" applyBorder="1" applyAlignment="1">
      <alignment horizontal="left" vertical="center" indent="2"/>
    </xf>
    <xf numFmtId="166" fontId="30" fillId="12" borderId="24" xfId="0" applyNumberFormat="1" applyFont="1" applyFill="1" applyBorder="1" applyAlignment="1">
      <alignment vertical="center"/>
    </xf>
    <xf numFmtId="0" fontId="30" fillId="12" borderId="11" xfId="0" applyFont="1" applyFill="1" applyBorder="1" applyAlignment="1">
      <alignment vertical="center"/>
    </xf>
    <xf numFmtId="0" fontId="47" fillId="0" borderId="0" xfId="0" applyFont="1" applyAlignment="1">
      <alignment vertical="top"/>
    </xf>
    <xf numFmtId="49" fontId="47" fillId="0" borderId="0" xfId="0" applyNumberFormat="1" applyFont="1" applyAlignment="1">
      <alignment vertical="top"/>
    </xf>
    <xf numFmtId="49" fontId="48" fillId="0" borderId="40" xfId="0" applyNumberFormat="1" applyFont="1" applyBorder="1" applyAlignment="1">
      <alignment horizontal="right" vertical="top"/>
    </xf>
    <xf numFmtId="49" fontId="48" fillId="0" borderId="40" xfId="0" applyNumberFormat="1" applyFont="1" applyBorder="1" applyAlignment="1">
      <alignment vertical="top"/>
    </xf>
    <xf numFmtId="49" fontId="49" fillId="0" borderId="40" xfId="0" applyNumberFormat="1" applyFont="1" applyBorder="1" applyAlignment="1">
      <alignment horizontal="right" vertical="top"/>
    </xf>
    <xf numFmtId="15" fontId="48" fillId="0" borderId="0" xfId="0" applyNumberFormat="1" applyFont="1" applyAlignment="1">
      <alignment horizontal="right" vertical="top"/>
    </xf>
    <xf numFmtId="49" fontId="50" fillId="0" borderId="0" xfId="0" applyNumberFormat="1" applyFont="1" applyAlignment="1">
      <alignment vertical="top"/>
    </xf>
    <xf numFmtId="49" fontId="49" fillId="0" borderId="0" xfId="0" applyNumberFormat="1" applyFont="1" applyAlignment="1">
      <alignment vertical="top"/>
    </xf>
    <xf numFmtId="49" fontId="48" fillId="0" borderId="0" xfId="0" applyNumberFormat="1" applyFont="1" applyAlignment="1">
      <alignment horizontal="right" vertical="top"/>
    </xf>
    <xf numFmtId="171" fontId="50" fillId="0" borderId="0" xfId="0" applyNumberFormat="1" applyFont="1" applyAlignment="1">
      <alignment horizontal="right" vertical="top"/>
    </xf>
    <xf numFmtId="172" fontId="50" fillId="0" borderId="0" xfId="0" applyNumberFormat="1" applyFont="1" applyAlignment="1">
      <alignment horizontal="right" vertical="top"/>
    </xf>
    <xf numFmtId="172" fontId="50" fillId="0" borderId="40" xfId="0" applyNumberFormat="1" applyFont="1" applyBorder="1" applyAlignment="1">
      <alignment horizontal="right" vertical="top"/>
    </xf>
    <xf numFmtId="164" fontId="50" fillId="0" borderId="0" xfId="1" applyFont="1" applyAlignment="1">
      <alignment horizontal="left" vertical="top" indent="5"/>
    </xf>
    <xf numFmtId="164" fontId="50" fillId="0" borderId="39" xfId="1" applyFont="1" applyBorder="1" applyAlignment="1">
      <alignment horizontal="right" vertical="top"/>
    </xf>
    <xf numFmtId="164" fontId="50" fillId="0" borderId="0" xfId="1" applyFont="1" applyAlignment="1">
      <alignment horizontal="right" vertical="top"/>
    </xf>
    <xf numFmtId="164" fontId="50" fillId="0" borderId="0" xfId="1" applyFont="1" applyAlignment="1">
      <alignment vertical="top"/>
    </xf>
    <xf numFmtId="164" fontId="40" fillId="11" borderId="19" xfId="1" applyFont="1" applyFill="1" applyBorder="1" applyAlignment="1" applyProtection="1">
      <alignment horizontal="center" vertical="center"/>
      <protection locked="0"/>
    </xf>
    <xf numFmtId="164" fontId="23" fillId="11" borderId="20" xfId="1" applyFont="1" applyFill="1" applyBorder="1" applyAlignment="1" applyProtection="1">
      <alignment horizontal="center" vertical="center"/>
      <protection locked="0"/>
    </xf>
    <xf numFmtId="166" fontId="12" fillId="11" borderId="20" xfId="1" applyNumberFormat="1" applyFont="1" applyFill="1" applyBorder="1" applyAlignment="1" applyProtection="1">
      <alignment horizontal="center" vertical="center"/>
      <protection locked="0"/>
    </xf>
    <xf numFmtId="166" fontId="11" fillId="2" borderId="20" xfId="1" applyNumberFormat="1" applyFont="1" applyFill="1" applyBorder="1" applyAlignment="1" applyProtection="1">
      <alignment horizontal="center" vertical="center"/>
      <protection locked="0"/>
    </xf>
    <xf numFmtId="166" fontId="12" fillId="0" borderId="20" xfId="1" applyNumberFormat="1" applyFont="1" applyFill="1" applyBorder="1" applyAlignment="1" applyProtection="1">
      <alignment horizontal="center" vertical="center"/>
      <protection locked="0"/>
    </xf>
    <xf numFmtId="166" fontId="13" fillId="12" borderId="20" xfId="1" applyNumberFormat="1" applyFont="1" applyFill="1" applyBorder="1" applyAlignment="1" applyProtection="1">
      <alignment horizontal="center" vertical="center"/>
      <protection locked="0"/>
    </xf>
    <xf numFmtId="166" fontId="10" fillId="2" borderId="20" xfId="1" applyNumberFormat="1" applyFont="1" applyFill="1" applyBorder="1" applyAlignment="1" applyProtection="1">
      <alignment horizontal="center" vertical="center"/>
      <protection locked="0"/>
    </xf>
    <xf numFmtId="166" fontId="23" fillId="0" borderId="20" xfId="1" applyNumberFormat="1" applyFont="1" applyBorder="1" applyAlignment="1" applyProtection="1">
      <alignment horizontal="center" vertical="center"/>
      <protection locked="0"/>
    </xf>
    <xf numFmtId="166" fontId="24" fillId="0" borderId="20" xfId="1" applyNumberFormat="1" applyFont="1" applyBorder="1" applyAlignment="1" applyProtection="1">
      <alignment horizontal="center" vertical="center"/>
      <protection locked="0"/>
    </xf>
    <xf numFmtId="166" fontId="12" fillId="0" borderId="20" xfId="1" applyNumberFormat="1" applyFont="1" applyBorder="1" applyAlignment="1" applyProtection="1">
      <alignment horizontal="center" vertical="center"/>
      <protection locked="0"/>
    </xf>
    <xf numFmtId="166" fontId="12" fillId="0" borderId="20" xfId="1" applyNumberFormat="1" applyFont="1" applyFill="1" applyBorder="1" applyAlignment="1" applyProtection="1">
      <alignment horizontal="center" vertical="center"/>
    </xf>
    <xf numFmtId="166" fontId="11" fillId="3" borderId="20" xfId="1" applyNumberFormat="1" applyFont="1" applyFill="1" applyBorder="1" applyAlignment="1" applyProtection="1">
      <alignment horizontal="center" vertical="center"/>
      <protection locked="0"/>
    </xf>
    <xf numFmtId="166" fontId="13" fillId="12" borderId="23" xfId="1" applyNumberFormat="1" applyFont="1" applyFill="1" applyBorder="1" applyAlignment="1" applyProtection="1">
      <alignment horizontal="center" vertical="center"/>
      <protection locked="0"/>
    </xf>
    <xf numFmtId="164" fontId="23" fillId="11" borderId="19" xfId="1" applyFont="1" applyFill="1" applyBorder="1" applyAlignment="1" applyProtection="1">
      <alignment horizontal="center" vertical="center"/>
      <protection locked="0"/>
    </xf>
    <xf numFmtId="166" fontId="18" fillId="0" borderId="20" xfId="1" applyNumberFormat="1" applyFont="1" applyFill="1" applyBorder="1" applyAlignment="1" applyProtection="1">
      <alignment horizontal="center" vertical="center"/>
      <protection locked="0"/>
    </xf>
    <xf numFmtId="166" fontId="12" fillId="0" borderId="20" xfId="1" applyNumberFormat="1" applyFont="1" applyBorder="1" applyAlignment="1">
      <alignment horizontal="center"/>
    </xf>
    <xf numFmtId="166" fontId="12" fillId="0" borderId="20" xfId="1" applyNumberFormat="1" applyFont="1" applyFill="1" applyBorder="1" applyAlignment="1">
      <alignment horizontal="center"/>
    </xf>
    <xf numFmtId="166" fontId="13" fillId="12" borderId="23" xfId="1" applyNumberFormat="1" applyFont="1" applyFill="1" applyBorder="1" applyAlignment="1">
      <alignment horizontal="center"/>
    </xf>
    <xf numFmtId="166" fontId="18" fillId="0" borderId="20" xfId="1" applyNumberFormat="1" applyFont="1" applyBorder="1" applyAlignment="1" applyProtection="1">
      <alignment horizontal="center" vertical="center"/>
      <protection locked="0"/>
    </xf>
    <xf numFmtId="164" fontId="23" fillId="11" borderId="34" xfId="1" applyFont="1" applyFill="1" applyBorder="1" applyAlignment="1" applyProtection="1">
      <alignment horizontal="center" vertical="center"/>
      <protection locked="0"/>
    </xf>
    <xf numFmtId="164" fontId="23" fillId="11" borderId="35" xfId="1" applyFont="1" applyFill="1" applyBorder="1" applyAlignment="1" applyProtection="1">
      <alignment horizontal="center" vertical="center"/>
      <protection locked="0"/>
    </xf>
    <xf numFmtId="166" fontId="12" fillId="11" borderId="35" xfId="1" applyNumberFormat="1" applyFont="1" applyFill="1" applyBorder="1" applyAlignment="1" applyProtection="1">
      <alignment horizontal="center" vertical="center"/>
      <protection locked="0"/>
    </xf>
    <xf numFmtId="166" fontId="11" fillId="2" borderId="35" xfId="1" applyNumberFormat="1" applyFont="1" applyFill="1" applyBorder="1" applyAlignment="1" applyProtection="1">
      <alignment horizontal="center" vertical="center"/>
      <protection locked="0"/>
    </xf>
    <xf numFmtId="166" fontId="12" fillId="0" borderId="35" xfId="1" applyNumberFormat="1" applyFont="1" applyFill="1" applyBorder="1" applyAlignment="1" applyProtection="1">
      <alignment horizontal="center" vertical="center"/>
      <protection locked="0"/>
    </xf>
    <xf numFmtId="166" fontId="13" fillId="12" borderId="35" xfId="1" applyNumberFormat="1" applyFont="1" applyFill="1" applyBorder="1" applyAlignment="1" applyProtection="1">
      <alignment horizontal="center" vertical="center"/>
      <protection locked="0"/>
    </xf>
    <xf numFmtId="166" fontId="10" fillId="2" borderId="35" xfId="1" applyNumberFormat="1" applyFont="1" applyFill="1" applyBorder="1" applyAlignment="1" applyProtection="1">
      <alignment horizontal="center" vertical="center"/>
      <protection locked="0"/>
    </xf>
    <xf numFmtId="166" fontId="18" fillId="0" borderId="35" xfId="1" applyNumberFormat="1" applyFont="1" applyBorder="1" applyAlignment="1" applyProtection="1">
      <alignment horizontal="center" vertical="center"/>
      <protection locked="0"/>
    </xf>
    <xf numFmtId="166" fontId="12" fillId="0" borderId="35" xfId="1" applyNumberFormat="1" applyFont="1" applyBorder="1" applyAlignment="1">
      <alignment horizontal="center"/>
    </xf>
    <xf numFmtId="166" fontId="12" fillId="0" borderId="35" xfId="1" applyNumberFormat="1" applyFont="1" applyFill="1" applyBorder="1" applyAlignment="1">
      <alignment horizontal="center"/>
    </xf>
    <xf numFmtId="166" fontId="14" fillId="0" borderId="35" xfId="1" applyNumberFormat="1" applyFont="1" applyFill="1" applyBorder="1" applyAlignment="1">
      <alignment horizontal="center"/>
    </xf>
    <xf numFmtId="166" fontId="11" fillId="3" borderId="35" xfId="1" applyNumberFormat="1" applyFont="1" applyFill="1" applyBorder="1" applyAlignment="1" applyProtection="1">
      <alignment horizontal="center" vertical="center"/>
      <protection locked="0"/>
    </xf>
    <xf numFmtId="166" fontId="13" fillId="12" borderId="44" xfId="1" applyNumberFormat="1" applyFont="1" applyFill="1" applyBorder="1" applyAlignment="1">
      <alignment horizontal="center"/>
    </xf>
    <xf numFmtId="166" fontId="14" fillId="0" borderId="20" xfId="1" applyNumberFormat="1" applyFont="1" applyFill="1" applyBorder="1" applyAlignment="1">
      <alignment horizontal="center"/>
    </xf>
    <xf numFmtId="164" fontId="12" fillId="11" borderId="41" xfId="1" applyFont="1" applyFill="1" applyBorder="1" applyAlignment="1" applyProtection="1">
      <alignment horizontal="left" vertical="center"/>
      <protection locked="0"/>
    </xf>
    <xf numFmtId="164" fontId="12" fillId="11" borderId="42" xfId="1" applyFont="1" applyFill="1" applyBorder="1" applyAlignment="1" applyProtection="1">
      <alignment horizontal="left" vertical="center"/>
      <protection locked="0"/>
    </xf>
    <xf numFmtId="164" fontId="11" fillId="2" borderId="42" xfId="1" applyFont="1" applyFill="1" applyBorder="1" applyAlignment="1" applyProtection="1">
      <alignment horizontal="left" vertical="center"/>
      <protection locked="0"/>
    </xf>
    <xf numFmtId="164" fontId="12" fillId="0" borderId="42" xfId="1" applyFont="1" applyFill="1" applyBorder="1" applyAlignment="1" applyProtection="1">
      <alignment horizontal="left" vertical="center"/>
      <protection locked="0"/>
    </xf>
    <xf numFmtId="164" fontId="13" fillId="12" borderId="42" xfId="1" applyFont="1" applyFill="1" applyBorder="1" applyAlignment="1" applyProtection="1">
      <alignment horizontal="left" vertical="center"/>
      <protection locked="0"/>
    </xf>
    <xf numFmtId="164" fontId="10" fillId="2" borderId="42" xfId="1" applyFont="1" applyFill="1" applyBorder="1" applyAlignment="1" applyProtection="1">
      <alignment horizontal="left" vertical="center"/>
      <protection locked="0"/>
    </xf>
    <xf numFmtId="164" fontId="23" fillId="0" borderId="42" xfId="1" applyFont="1" applyBorder="1" applyAlignment="1" applyProtection="1">
      <alignment horizontal="left" vertical="center"/>
      <protection locked="0"/>
    </xf>
    <xf numFmtId="164" fontId="24" fillId="0" borderId="42" xfId="1" applyFont="1" applyBorder="1" applyAlignment="1" applyProtection="1">
      <alignment horizontal="left" vertical="center"/>
      <protection locked="0"/>
    </xf>
    <xf numFmtId="164" fontId="12" fillId="0" borderId="42" xfId="1" applyFont="1" applyBorder="1" applyAlignment="1" applyProtection="1">
      <alignment horizontal="left" vertical="center"/>
      <protection locked="0"/>
    </xf>
    <xf numFmtId="164" fontId="12" fillId="0" borderId="42" xfId="1" applyFont="1" applyFill="1" applyBorder="1" applyAlignment="1" applyProtection="1">
      <alignment horizontal="left" vertical="center"/>
    </xf>
    <xf numFmtId="164" fontId="11" fillId="3" borderId="42" xfId="1" applyFont="1" applyFill="1" applyBorder="1" applyAlignment="1" applyProtection="1">
      <alignment horizontal="left" vertical="center"/>
      <protection locked="0"/>
    </xf>
    <xf numFmtId="164" fontId="13" fillId="12" borderId="43" xfId="1" applyFont="1" applyFill="1" applyBorder="1" applyAlignment="1" applyProtection="1">
      <alignment horizontal="left" vertical="center"/>
      <protection locked="0"/>
    </xf>
    <xf numFmtId="164" fontId="50" fillId="0" borderId="40" xfId="1" applyFont="1" applyBorder="1" applyAlignment="1">
      <alignment horizontal="right" vertical="top"/>
    </xf>
    <xf numFmtId="172" fontId="47" fillId="0" borderId="39" xfId="0" applyNumberFormat="1" applyFont="1" applyBorder="1" applyAlignment="1">
      <alignment horizontal="right" vertical="top"/>
    </xf>
    <xf numFmtId="49" fontId="47" fillId="0" borderId="0" xfId="0" applyNumberFormat="1" applyFont="1" applyAlignment="1">
      <alignment horizontal="right" vertical="top"/>
    </xf>
    <xf numFmtId="49" fontId="50" fillId="0" borderId="0" xfId="0" applyNumberFormat="1" applyFont="1" applyAlignment="1">
      <alignment horizontal="left" vertical="top" indent="5"/>
    </xf>
    <xf numFmtId="171" fontId="47" fillId="0" borderId="0" xfId="0" applyNumberFormat="1" applyFont="1" applyAlignment="1">
      <alignment horizontal="right" vertical="top"/>
    </xf>
    <xf numFmtId="0" fontId="9" fillId="0" borderId="45" xfId="0" applyFont="1" applyBorder="1"/>
    <xf numFmtId="37" fontId="16" fillId="3" borderId="31" xfId="3" applyNumberFormat="1" applyFont="1" applyFill="1" applyBorder="1" applyAlignment="1" applyProtection="1">
      <alignment horizontal="center" vertical="center" wrapText="1"/>
      <protection locked="0"/>
    </xf>
    <xf numFmtId="37" fontId="10" fillId="3" borderId="31" xfId="3" applyNumberFormat="1" applyFont="1" applyFill="1" applyBorder="1" applyAlignment="1" applyProtection="1">
      <alignment horizontal="center" vertical="center" wrapText="1"/>
      <protection locked="0"/>
    </xf>
    <xf numFmtId="37" fontId="11" fillId="3" borderId="31" xfId="3" applyNumberFormat="1" applyFont="1" applyFill="1" applyBorder="1" applyAlignment="1" applyProtection="1">
      <alignment horizontal="center" vertical="center" wrapText="1"/>
      <protection locked="0"/>
    </xf>
    <xf numFmtId="37" fontId="11" fillId="3" borderId="46" xfId="3" applyNumberFormat="1" applyFont="1" applyFill="1" applyBorder="1" applyAlignment="1" applyProtection="1">
      <alignment horizontal="center" vertical="center" wrapText="1"/>
      <protection locked="0"/>
    </xf>
    <xf numFmtId="37" fontId="11" fillId="3" borderId="36" xfId="3" applyNumberFormat="1" applyFont="1" applyFill="1" applyBorder="1" applyAlignment="1" applyProtection="1">
      <alignment horizontal="center" vertical="center" wrapText="1"/>
      <protection locked="0"/>
    </xf>
    <xf numFmtId="37" fontId="26" fillId="3" borderId="1" xfId="3" applyNumberFormat="1" applyFont="1" applyFill="1" applyBorder="1" applyAlignment="1" applyProtection="1">
      <alignment horizontal="center" vertical="center" wrapText="1"/>
      <protection locked="0"/>
    </xf>
    <xf numFmtId="37" fontId="26" fillId="3" borderId="17" xfId="3" applyNumberFormat="1" applyFont="1" applyFill="1" applyBorder="1" applyAlignment="1" applyProtection="1">
      <alignment horizontal="center" vertical="center" wrapText="1"/>
      <protection locked="0"/>
    </xf>
    <xf numFmtId="37" fontId="26" fillId="3" borderId="20" xfId="3" applyNumberFormat="1" applyFont="1" applyFill="1" applyBorder="1" applyAlignment="1" applyProtection="1">
      <alignment horizontal="left" vertical="center" wrapText="1"/>
      <protection locked="0"/>
    </xf>
    <xf numFmtId="164" fontId="8" fillId="0" borderId="0" xfId="1" applyFont="1"/>
    <xf numFmtId="0" fontId="29" fillId="2" borderId="20" xfId="0" applyFont="1" applyFill="1" applyBorder="1" applyAlignment="1">
      <alignment vertical="center"/>
    </xf>
    <xf numFmtId="166" fontId="29" fillId="2" borderId="35" xfId="1" applyNumberFormat="1" applyFont="1" applyFill="1" applyBorder="1" applyAlignment="1">
      <alignment horizontal="left" vertical="center" indent="2"/>
    </xf>
    <xf numFmtId="166" fontId="29" fillId="2" borderId="4" xfId="1" applyNumberFormat="1" applyFont="1" applyFill="1" applyBorder="1" applyAlignment="1">
      <alignment horizontal="left" vertical="center" indent="2"/>
    </xf>
    <xf numFmtId="9" fontId="12" fillId="13" borderId="1" xfId="2" applyFont="1" applyFill="1" applyBorder="1" applyAlignment="1" applyProtection="1">
      <alignment horizontal="left" vertical="center" wrapText="1"/>
      <protection locked="0"/>
    </xf>
    <xf numFmtId="37" fontId="16" fillId="3" borderId="47" xfId="3" applyNumberFormat="1" applyFont="1" applyFill="1" applyBorder="1" applyAlignment="1" applyProtection="1">
      <alignment horizontal="center" vertical="center" wrapText="1"/>
      <protection locked="0"/>
    </xf>
    <xf numFmtId="37" fontId="26" fillId="3" borderId="48" xfId="3" applyNumberFormat="1" applyFont="1" applyFill="1" applyBorder="1" applyAlignment="1" applyProtection="1">
      <alignment horizontal="center" vertical="center" wrapText="1"/>
      <protection locked="0"/>
    </xf>
    <xf numFmtId="166" fontId="11" fillId="16" borderId="48" xfId="1" applyNumberFormat="1" applyFont="1" applyFill="1" applyBorder="1" applyAlignment="1" applyProtection="1">
      <alignment horizontal="left" vertical="center" wrapText="1"/>
      <protection locked="0"/>
    </xf>
    <xf numFmtId="166" fontId="12" fillId="3" borderId="48" xfId="1" applyNumberFormat="1" applyFont="1" applyFill="1" applyBorder="1" applyAlignment="1" applyProtection="1">
      <alignment horizontal="left" vertical="center" wrapText="1"/>
      <protection locked="0"/>
    </xf>
    <xf numFmtId="166" fontId="11" fillId="2" borderId="48" xfId="1" applyNumberFormat="1" applyFont="1" applyFill="1" applyBorder="1" applyAlignment="1" applyProtection="1">
      <alignment horizontal="left" vertical="center" wrapText="1"/>
      <protection locked="0"/>
    </xf>
    <xf numFmtId="166" fontId="11" fillId="11" borderId="48" xfId="1" applyNumberFormat="1" applyFont="1" applyFill="1" applyBorder="1" applyAlignment="1" applyProtection="1">
      <alignment horizontal="left" vertical="center" wrapText="1"/>
      <protection locked="0"/>
    </xf>
    <xf numFmtId="164" fontId="8" fillId="0" borderId="48" xfId="1" applyFont="1" applyBorder="1"/>
    <xf numFmtId="164" fontId="8" fillId="6" borderId="48" xfId="1" applyFont="1" applyFill="1" applyBorder="1"/>
    <xf numFmtId="164" fontId="12" fillId="6" borderId="48" xfId="1" applyFont="1" applyFill="1" applyBorder="1"/>
    <xf numFmtId="164" fontId="8" fillId="0" borderId="48" xfId="1" applyFont="1" applyFill="1" applyBorder="1"/>
    <xf numFmtId="164" fontId="8" fillId="9" borderId="48" xfId="1" applyFont="1" applyFill="1" applyBorder="1"/>
    <xf numFmtId="9" fontId="8" fillId="9" borderId="48" xfId="2" applyFont="1" applyFill="1" applyBorder="1"/>
    <xf numFmtId="164" fontId="12" fillId="3" borderId="48" xfId="1" applyFont="1" applyFill="1" applyBorder="1" applyAlignment="1" applyProtection="1">
      <alignment horizontal="left" vertical="center" wrapText="1"/>
      <protection locked="0"/>
    </xf>
    <xf numFmtId="9" fontId="12" fillId="3" borderId="48" xfId="2" applyFont="1" applyFill="1" applyBorder="1" applyAlignment="1" applyProtection="1">
      <alignment horizontal="left" vertical="center" wrapText="1"/>
      <protection locked="0"/>
    </xf>
    <xf numFmtId="164" fontId="12" fillId="3" borderId="48" xfId="1" applyFont="1" applyFill="1" applyBorder="1" applyAlignment="1" applyProtection="1">
      <alignment horizontal="left" vertical="center"/>
    </xf>
    <xf numFmtId="9" fontId="12" fillId="3" borderId="48" xfId="2" applyFont="1" applyFill="1" applyBorder="1" applyAlignment="1" applyProtection="1">
      <alignment horizontal="left" vertical="center"/>
    </xf>
    <xf numFmtId="164" fontId="12" fillId="0" borderId="48" xfId="1" applyFont="1" applyBorder="1"/>
    <xf numFmtId="10" fontId="12" fillId="3" borderId="48" xfId="1" applyNumberFormat="1" applyFont="1" applyFill="1" applyBorder="1" applyAlignment="1" applyProtection="1">
      <alignment horizontal="left" vertical="center" wrapText="1"/>
      <protection locked="0"/>
    </xf>
    <xf numFmtId="164" fontId="12" fillId="4" borderId="48" xfId="1" applyFont="1" applyFill="1" applyBorder="1" applyAlignment="1" applyProtection="1">
      <alignment horizontal="left" vertical="center" wrapText="1"/>
      <protection locked="0"/>
    </xf>
    <xf numFmtId="9" fontId="12" fillId="4" borderId="48" xfId="2" applyFont="1" applyFill="1" applyBorder="1" applyAlignment="1" applyProtection="1">
      <alignment horizontal="left" vertical="center" wrapText="1"/>
      <protection locked="0"/>
    </xf>
    <xf numFmtId="164" fontId="14" fillId="13" borderId="48" xfId="1" applyFont="1" applyFill="1" applyBorder="1" applyAlignment="1" applyProtection="1">
      <alignment horizontal="left" vertical="center" wrapText="1"/>
      <protection locked="0"/>
    </xf>
    <xf numFmtId="9" fontId="14" fillId="13" borderId="48" xfId="2" applyFont="1" applyFill="1" applyBorder="1" applyAlignment="1" applyProtection="1">
      <alignment horizontal="left" vertical="center" wrapText="1"/>
      <protection locked="0"/>
    </xf>
    <xf numFmtId="164" fontId="14" fillId="0" borderId="48" xfId="1" applyFont="1" applyBorder="1"/>
    <xf numFmtId="164" fontId="18" fillId="0" borderId="48" xfId="1" applyFont="1" applyBorder="1"/>
    <xf numFmtId="164" fontId="16" fillId="0" borderId="48" xfId="1" applyFont="1" applyFill="1" applyBorder="1" applyAlignment="1" applyProtection="1">
      <alignment horizontal="left" vertical="center" wrapText="1"/>
      <protection locked="0"/>
    </xf>
    <xf numFmtId="9" fontId="16" fillId="0" borderId="48" xfId="2" applyFont="1" applyFill="1" applyBorder="1" applyAlignment="1" applyProtection="1">
      <alignment horizontal="left" vertical="center" wrapText="1"/>
      <protection locked="0"/>
    </xf>
    <xf numFmtId="37" fontId="11" fillId="3" borderId="19" xfId="3" applyNumberFormat="1" applyFont="1" applyFill="1" applyBorder="1" applyAlignment="1" applyProtection="1">
      <alignment horizontal="left" vertical="center" wrapText="1"/>
      <protection locked="0"/>
    </xf>
    <xf numFmtId="37" fontId="11" fillId="16" borderId="20" xfId="3" applyNumberFormat="1" applyFont="1" applyFill="1" applyBorder="1" applyAlignment="1" applyProtection="1">
      <alignment horizontal="left" vertical="center" wrapText="1"/>
      <protection locked="0"/>
    </xf>
    <xf numFmtId="37" fontId="12" fillId="3" borderId="20" xfId="3" applyNumberFormat="1" applyFont="1" applyFill="1" applyBorder="1" applyAlignment="1" applyProtection="1">
      <alignment horizontal="left" vertical="center" wrapText="1"/>
      <protection locked="0"/>
    </xf>
    <xf numFmtId="37" fontId="11" fillId="2" borderId="20" xfId="3" applyNumberFormat="1" applyFont="1" applyFill="1" applyBorder="1" applyAlignment="1" applyProtection="1">
      <alignment horizontal="left" vertical="center" wrapText="1"/>
      <protection locked="0"/>
    </xf>
    <xf numFmtId="37" fontId="11" fillId="11" borderId="20" xfId="3" applyNumberFormat="1" applyFont="1" applyFill="1" applyBorder="1" applyAlignment="1" applyProtection="1">
      <alignment horizontal="left" vertical="center" wrapText="1"/>
      <protection locked="0"/>
    </xf>
    <xf numFmtId="37" fontId="15" fillId="0" borderId="20" xfId="3" applyNumberFormat="1" applyFont="1" applyBorder="1" applyAlignment="1" applyProtection="1">
      <alignment horizontal="left" vertical="center" wrapText="1"/>
      <protection locked="0"/>
    </xf>
    <xf numFmtId="165" fontId="12" fillId="6" borderId="20" xfId="5" applyNumberFormat="1" applyFont="1" applyFill="1" applyBorder="1" applyAlignment="1" applyProtection="1">
      <alignment horizontal="left" vertical="center"/>
    </xf>
    <xf numFmtId="37" fontId="12" fillId="0" borderId="20" xfId="3" applyNumberFormat="1" applyFont="1" applyBorder="1" applyAlignment="1" applyProtection="1">
      <alignment horizontal="left" vertical="center" wrapText="1"/>
      <protection locked="0"/>
    </xf>
    <xf numFmtId="165" fontId="12" fillId="0" borderId="20" xfId="5" applyNumberFormat="1" applyFont="1" applyFill="1" applyBorder="1" applyAlignment="1" applyProtection="1">
      <alignment horizontal="left" vertical="center"/>
    </xf>
    <xf numFmtId="165" fontId="12" fillId="9" borderId="20" xfId="5" applyNumberFormat="1" applyFont="1" applyFill="1" applyBorder="1" applyAlignment="1" applyProtection="1">
      <alignment horizontal="left" vertical="center"/>
    </xf>
    <xf numFmtId="38" fontId="15" fillId="0" borderId="20" xfId="4" applyNumberFormat="1" applyFont="1" applyBorder="1" applyAlignment="1" applyProtection="1">
      <alignment horizontal="left" vertical="center"/>
      <protection locked="0"/>
    </xf>
    <xf numFmtId="38" fontId="12" fillId="0" borderId="20" xfId="4" applyNumberFormat="1" applyFont="1" applyBorder="1" applyAlignment="1" applyProtection="1">
      <alignment horizontal="left" vertical="center"/>
      <protection locked="0"/>
    </xf>
    <xf numFmtId="38" fontId="15" fillId="0" borderId="20" xfId="3" applyNumberFormat="1" applyFont="1" applyBorder="1" applyAlignment="1" applyProtection="1">
      <alignment horizontal="left" vertical="center" wrapText="1"/>
      <protection locked="0"/>
    </xf>
    <xf numFmtId="165" fontId="12" fillId="3" borderId="20" xfId="5" applyNumberFormat="1" applyFont="1" applyFill="1" applyBorder="1" applyAlignment="1" applyProtection="1">
      <alignment horizontal="left" vertical="center"/>
    </xf>
    <xf numFmtId="38" fontId="12" fillId="3" borderId="20" xfId="3" applyNumberFormat="1" applyFont="1" applyFill="1" applyBorder="1" applyAlignment="1" applyProtection="1">
      <alignment horizontal="left" vertical="center" wrapText="1"/>
      <protection locked="0"/>
    </xf>
    <xf numFmtId="37" fontId="12" fillId="4" borderId="20" xfId="3" applyNumberFormat="1" applyFont="1" applyFill="1" applyBorder="1" applyAlignment="1" applyProtection="1">
      <alignment horizontal="left" vertical="center" wrapText="1"/>
      <protection locked="0"/>
    </xf>
    <xf numFmtId="37" fontId="12" fillId="13" borderId="20" xfId="3" applyNumberFormat="1" applyFont="1" applyFill="1" applyBorder="1" applyAlignment="1" applyProtection="1">
      <alignment horizontal="left" vertical="center" wrapText="1"/>
      <protection locked="0"/>
    </xf>
    <xf numFmtId="169" fontId="8" fillId="13" borderId="20" xfId="2" applyNumberFormat="1" applyFont="1" applyFill="1" applyBorder="1" applyAlignment="1" applyProtection="1">
      <alignment horizontal="left" vertical="center" wrapText="1"/>
      <protection locked="0"/>
    </xf>
    <xf numFmtId="37" fontId="11" fillId="0" borderId="20" xfId="3" applyNumberFormat="1" applyFont="1" applyBorder="1" applyAlignment="1" applyProtection="1">
      <alignment horizontal="left" vertical="center" wrapText="1"/>
      <protection locked="0"/>
    </xf>
    <xf numFmtId="169" fontId="11" fillId="0" borderId="23" xfId="2" applyNumberFormat="1" applyFont="1" applyFill="1" applyBorder="1" applyAlignment="1" applyProtection="1">
      <alignment horizontal="left" vertical="center" wrapText="1"/>
      <protection locked="0"/>
    </xf>
    <xf numFmtId="0" fontId="36" fillId="0" borderId="0" xfId="0" applyFont="1"/>
    <xf numFmtId="166" fontId="37" fillId="0" borderId="0" xfId="1" applyNumberFormat="1" applyFont="1" applyFill="1" applyBorder="1"/>
    <xf numFmtId="9" fontId="36" fillId="0" borderId="0" xfId="0" applyNumberFormat="1" applyFont="1"/>
    <xf numFmtId="164" fontId="36" fillId="0" borderId="0" xfId="1" applyFont="1" applyFill="1" applyBorder="1"/>
    <xf numFmtId="0" fontId="37" fillId="0" borderId="0" xfId="0" applyFont="1"/>
    <xf numFmtId="166" fontId="51" fillId="0" borderId="0" xfId="6" applyNumberFormat="1"/>
    <xf numFmtId="166" fontId="8" fillId="0" borderId="0" xfId="1" applyNumberFormat="1" applyFont="1"/>
    <xf numFmtId="9" fontId="8" fillId="0" borderId="0" xfId="0" applyNumberFormat="1" applyFont="1"/>
    <xf numFmtId="164" fontId="8" fillId="0" borderId="40" xfId="1" applyFont="1" applyBorder="1"/>
    <xf numFmtId="164" fontId="16" fillId="0" borderId="17" xfId="1" applyFont="1" applyFill="1" applyBorder="1" applyAlignment="1" applyProtection="1">
      <alignment horizontal="left" vertical="center" wrapText="1"/>
      <protection locked="0"/>
    </xf>
    <xf numFmtId="166" fontId="14" fillId="3" borderId="48" xfId="1" applyNumberFormat="1" applyFont="1" applyFill="1" applyBorder="1" applyAlignment="1" applyProtection="1">
      <alignment horizontal="left" vertical="center" wrapText="1"/>
      <protection locked="0"/>
    </xf>
    <xf numFmtId="166" fontId="14" fillId="3" borderId="1" xfId="1" applyNumberFormat="1" applyFont="1" applyFill="1" applyBorder="1" applyAlignment="1" applyProtection="1">
      <alignment horizontal="left" vertical="center" wrapText="1"/>
      <protection locked="0"/>
    </xf>
    <xf numFmtId="166" fontId="18" fillId="3" borderId="1" xfId="1" applyNumberFormat="1" applyFont="1" applyFill="1" applyBorder="1" applyAlignment="1" applyProtection="1">
      <alignment horizontal="left" vertical="center" wrapText="1"/>
      <protection locked="0"/>
    </xf>
    <xf numFmtId="166" fontId="16" fillId="2" borderId="20" xfId="1" applyNumberFormat="1" applyFont="1" applyFill="1" applyBorder="1" applyAlignment="1" applyProtection="1">
      <alignment horizontal="center" vertical="center"/>
      <protection locked="0"/>
    </xf>
    <xf numFmtId="164" fontId="50" fillId="0" borderId="0" xfId="1" applyFont="1" applyAlignment="1">
      <alignment horizontal="right" vertical="top"/>
    </xf>
    <xf numFmtId="164" fontId="50" fillId="0" borderId="40" xfId="1" applyFont="1" applyBorder="1" applyAlignment="1">
      <alignment horizontal="right" vertical="top"/>
    </xf>
    <xf numFmtId="49" fontId="47" fillId="0" borderId="0" xfId="0" applyNumberFormat="1" applyFont="1" applyAlignment="1">
      <alignment vertical="top"/>
    </xf>
    <xf numFmtId="49" fontId="49" fillId="0" borderId="40" xfId="0" applyNumberFormat="1" applyFont="1" applyBorder="1" applyAlignment="1">
      <alignment horizontal="left" vertical="top" indent="5"/>
    </xf>
    <xf numFmtId="164" fontId="50" fillId="0" borderId="39" xfId="1" applyFont="1" applyBorder="1" applyAlignment="1">
      <alignment horizontal="right" vertical="top"/>
    </xf>
    <xf numFmtId="49" fontId="46" fillId="0" borderId="39" xfId="0" applyNumberFormat="1" applyFont="1" applyBorder="1" applyAlignment="1">
      <alignment vertical="top"/>
    </xf>
    <xf numFmtId="49" fontId="46" fillId="0" borderId="0" xfId="0" applyNumberFormat="1" applyFont="1" applyAlignment="1">
      <alignment vertical="top"/>
    </xf>
    <xf numFmtId="49" fontId="47" fillId="0" borderId="38" xfId="0" applyNumberFormat="1" applyFont="1" applyBorder="1" applyAlignment="1">
      <alignment vertical="top"/>
    </xf>
    <xf numFmtId="172" fontId="47" fillId="2" borderId="0" xfId="0" applyNumberFormat="1" applyFont="1" applyFill="1" applyAlignment="1">
      <alignment horizontal="right" vertical="top"/>
    </xf>
    <xf numFmtId="172" fontId="50" fillId="0" borderId="40" xfId="0" applyNumberFormat="1" applyFont="1" applyBorder="1" applyAlignment="1">
      <alignment horizontal="right" vertical="top"/>
    </xf>
    <xf numFmtId="172" fontId="47" fillId="0" borderId="39" xfId="0" applyNumberFormat="1" applyFont="1" applyBorder="1" applyAlignment="1">
      <alignment horizontal="right" vertical="top"/>
    </xf>
    <xf numFmtId="0" fontId="9" fillId="7" borderId="14" xfId="0" applyFont="1" applyFill="1" applyBorder="1" applyAlignment="1">
      <alignment horizontal="center"/>
    </xf>
    <xf numFmtId="0" fontId="9" fillId="7" borderId="15" xfId="0" applyFont="1" applyFill="1" applyBorder="1" applyAlignment="1">
      <alignment horizontal="center"/>
    </xf>
    <xf numFmtId="0" fontId="9" fillId="7" borderId="16" xfId="0" applyFont="1" applyFill="1" applyBorder="1" applyAlignment="1">
      <alignment horizontal="center"/>
    </xf>
    <xf numFmtId="0" fontId="9" fillId="15" borderId="25" xfId="0" applyFont="1" applyFill="1" applyBorder="1" applyAlignment="1">
      <alignment horizontal="center"/>
    </xf>
    <xf numFmtId="0" fontId="9" fillId="15" borderId="26" xfId="0" applyFont="1" applyFill="1" applyBorder="1" applyAlignment="1">
      <alignment horizontal="center"/>
    </xf>
    <xf numFmtId="0" fontId="9" fillId="15" borderId="24" xfId="0" applyFont="1" applyFill="1" applyBorder="1" applyAlignment="1">
      <alignment horizontal="center"/>
    </xf>
    <xf numFmtId="166" fontId="14" fillId="0" borderId="4" xfId="1" applyNumberFormat="1" applyFont="1" applyFill="1" applyBorder="1" applyAlignment="1" applyProtection="1">
      <alignment horizontal="center" vertical="center"/>
      <protection locked="0"/>
    </xf>
  </cellXfs>
  <cellStyles count="7">
    <cellStyle name="Comma" xfId="1" builtinId="3"/>
    <cellStyle name="Comma 10 3" xfId="5" xr:uid="{53A81397-687A-4A92-9BC2-8A81E174C6D7}"/>
    <cellStyle name="Excel Built-in Normal 1" xfId="3" xr:uid="{F0F2B2C5-992C-4BDA-A42D-8FE4BB7650DD}"/>
    <cellStyle name="Hyperlink" xfId="6" builtinId="8"/>
    <cellStyle name="Normal" xfId="0" builtinId="0"/>
    <cellStyle name="Normal_MIS July Nag VCA" xfId="4" xr:uid="{AF4C0882-A1FF-4676-81F7-6EB496A48284}"/>
    <cellStyle name="Percent" xfId="2" builtinId="5"/>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mall%20business%20cash%20flow%20forecast1"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0758aebf08b37535/Switch%20Final%20sheet%202025%20NEW/Forecast%20%5e0%20Capex/Revenue%20Tracker%202025.xlsx" TargetMode="External"/><Relationship Id="rId1" Type="http://schemas.openxmlformats.org/officeDocument/2006/relationships/externalLinkPath" Target="Revenue%20Tracker%20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SAMIR\OneDrive\SWITCH%20DATA\OneDrive\Switch%20Final%20sheet%202025%20NEW\Forecast%20&amp;%20Capex\Revenue%20Tracker%202025.xlsx" TargetMode="External"/><Relationship Id="rId1" Type="http://schemas.openxmlformats.org/officeDocument/2006/relationships/externalLinkPath" Target="file:///C:\Users\SAMIR\OneDrive\SWITCH%20DATA\OneDrive\Switch%20Final%20sheet%202025%20NEW\Forecast%20&amp;%20Capex\Revenue%20Tracker%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forecast"/>
      <sheetName val="Cash flow chart"/>
    </sheetNames>
    <sheetDataSet>
      <sheetData sheetId="0">
        <row r="4">
          <cell r="J4">
            <v>2000</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ending payments "/>
      <sheetName val="JAN 25"/>
      <sheetName val="FEB 25"/>
      <sheetName val="March 25"/>
      <sheetName val="April 25 "/>
      <sheetName val="May 25"/>
      <sheetName val="June 25"/>
    </sheetNames>
    <sheetDataSet>
      <sheetData sheetId="0" refreshError="1"/>
      <sheetData sheetId="1">
        <row r="32">
          <cell r="G32">
            <v>16170</v>
          </cell>
          <cell r="H32">
            <v>56144</v>
          </cell>
          <cell r="I32">
            <v>5476.4</v>
          </cell>
          <cell r="K32">
            <v>11024.567999999999</v>
          </cell>
        </row>
      </sheetData>
      <sheetData sheetId="2">
        <row r="33">
          <cell r="H33">
            <v>1260</v>
          </cell>
          <cell r="I33">
            <v>37168</v>
          </cell>
          <cell r="J33">
            <v>5874</v>
          </cell>
          <cell r="L33">
            <v>5859.72</v>
          </cell>
        </row>
      </sheetData>
      <sheetData sheetId="3">
        <row r="11">
          <cell r="L11">
            <v>11282.865</v>
          </cell>
        </row>
        <row r="32">
          <cell r="G32">
            <v>131137</v>
          </cell>
          <cell r="H32">
            <v>10564</v>
          </cell>
          <cell r="I32">
            <v>11563.25</v>
          </cell>
          <cell r="K32">
            <v>23424.795000000002</v>
          </cell>
        </row>
      </sheetData>
      <sheetData sheetId="4">
        <row r="8">
          <cell r="M8">
            <v>19623.400000000001</v>
          </cell>
        </row>
        <row r="10">
          <cell r="M10">
            <v>25399.5</v>
          </cell>
        </row>
        <row r="11">
          <cell r="M11">
            <v>32037</v>
          </cell>
        </row>
        <row r="33">
          <cell r="G33">
            <v>208715</v>
          </cell>
          <cell r="H33">
            <v>23445</v>
          </cell>
          <cell r="I33">
            <v>19575</v>
          </cell>
          <cell r="L33">
            <v>250490.30000000002</v>
          </cell>
        </row>
      </sheetData>
      <sheetData sheetId="5">
        <row r="24">
          <cell r="G24">
            <v>229200</v>
          </cell>
          <cell r="H24">
            <v>18470</v>
          </cell>
          <cell r="I24">
            <v>13810</v>
          </cell>
          <cell r="J24">
            <v>233860</v>
          </cell>
          <cell r="K24">
            <v>42094.799999999996</v>
          </cell>
          <cell r="M24">
            <v>93491.8</v>
          </cell>
        </row>
      </sheetData>
      <sheetData sheetId="6">
        <row r="26">
          <cell r="J26">
            <v>68098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ending payments "/>
      <sheetName val="JAN 25"/>
      <sheetName val="FEB 25"/>
      <sheetName val="March 25"/>
      <sheetName val="April 25 "/>
      <sheetName val="May 25"/>
      <sheetName val="June 25"/>
    </sheetNames>
    <sheetDataSet>
      <sheetData sheetId="0" refreshError="1"/>
      <sheetData sheetId="1" refreshError="1"/>
      <sheetData sheetId="2" refreshError="1"/>
      <sheetData sheetId="3" refreshError="1"/>
      <sheetData sheetId="4" refreshError="1"/>
      <sheetData sheetId="5" refreshError="1"/>
      <sheetData sheetId="6">
        <row r="26">
          <cell r="M26">
            <v>12106.8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795BA-A0BC-4BEA-8F42-8F2BCC3611C4}">
  <dimension ref="A1:K21"/>
  <sheetViews>
    <sheetView zoomScale="120" zoomScaleNormal="120" workbookViewId="0">
      <selection activeCell="G18" sqref="G18"/>
    </sheetView>
  </sheetViews>
  <sheetFormatPr defaultColWidth="11" defaultRowHeight="10.8" x14ac:dyDescent="0.3"/>
  <cols>
    <col min="1" max="1" width="32.88671875" style="61" bestFit="1" customWidth="1"/>
    <col min="2" max="2" width="18.44140625" style="61" bestFit="1" customWidth="1"/>
    <col min="3" max="3" width="21.77734375" style="62" bestFit="1" customWidth="1"/>
    <col min="4" max="4" width="8.21875" style="60" bestFit="1" customWidth="1"/>
    <col min="5" max="5" width="12.5546875" style="60" bestFit="1" customWidth="1"/>
    <col min="6" max="6" width="4.44140625" style="60" bestFit="1" customWidth="1"/>
    <col min="7" max="7" width="6" style="60" bestFit="1" customWidth="1"/>
    <col min="8" max="8" width="23.33203125" style="60" bestFit="1" customWidth="1"/>
    <col min="9" max="9" width="16.5546875" style="60" bestFit="1" customWidth="1"/>
    <col min="10" max="10" width="9.88671875" style="60" bestFit="1" customWidth="1"/>
    <col min="11" max="11" width="16.5546875" style="60" bestFit="1" customWidth="1"/>
    <col min="12" max="16384" width="11" style="60"/>
  </cols>
  <sheetData>
    <row r="1" spans="1:11" ht="11.4" thickBot="1" x14ac:dyDescent="0.35">
      <c r="A1" s="234" t="s">
        <v>175</v>
      </c>
      <c r="B1" s="235">
        <f>B15</f>
        <v>6334414.0099999998</v>
      </c>
      <c r="C1" s="236" t="s">
        <v>180</v>
      </c>
      <c r="D1" s="237" t="s">
        <v>178</v>
      </c>
      <c r="E1" s="237" t="s">
        <v>179</v>
      </c>
      <c r="F1" s="237" t="s">
        <v>200</v>
      </c>
      <c r="G1" s="199"/>
      <c r="H1" s="248" t="s">
        <v>183</v>
      </c>
      <c r="I1" s="245"/>
      <c r="J1" s="197"/>
      <c r="K1" s="199"/>
    </row>
    <row r="2" spans="1:11" x14ac:dyDescent="0.3">
      <c r="A2" s="234" t="s">
        <v>176</v>
      </c>
      <c r="B2" s="200">
        <v>0.74</v>
      </c>
      <c r="C2" s="201">
        <f>B1*74%</f>
        <v>4687466.3673999999</v>
      </c>
      <c r="D2" s="202">
        <f>'SAMIR CAPEX AS PER BANK'!G102+'SAMIR CAPEX AS PER BANK'!G104+'SAMIR CAPEX AS PER BANK'!G105+'SAMIR CAPEX AS PER BANK'!G106+'SAMIR CAPEX AS PER BANK'!G107+'SAMIR CAPEX AS PER BANK'!G108</f>
        <v>4092357.59</v>
      </c>
      <c r="E2" s="238">
        <f>C2-D2</f>
        <v>595108.77740000002</v>
      </c>
      <c r="F2" s="239">
        <f>D2/C2</f>
        <v>0.87304254990738428</v>
      </c>
      <c r="G2" s="199"/>
      <c r="H2" s="249"/>
      <c r="I2" s="246" t="s">
        <v>181</v>
      </c>
      <c r="J2" s="196" t="s">
        <v>70</v>
      </c>
      <c r="K2" s="199"/>
    </row>
    <row r="3" spans="1:11" x14ac:dyDescent="0.3">
      <c r="A3" s="234" t="s">
        <v>177</v>
      </c>
      <c r="B3" s="200">
        <v>0.26</v>
      </c>
      <c r="C3" s="201">
        <f>B15*26%</f>
        <v>1646947.6425999999</v>
      </c>
      <c r="D3" s="202">
        <f>'KARAN CAPEX AS PER BANK'!F27+'KARAN CAPEX AS PER BANK'!F28</f>
        <v>710000</v>
      </c>
      <c r="E3" s="238">
        <f>C3-D3</f>
        <v>936947.6425999999</v>
      </c>
      <c r="F3" s="239">
        <f>D3/C3</f>
        <v>0.43110052902418844</v>
      </c>
      <c r="G3" s="199"/>
      <c r="H3" s="250" t="s">
        <v>172</v>
      </c>
      <c r="I3" s="247">
        <v>593684</v>
      </c>
      <c r="J3" s="198"/>
      <c r="K3" s="199"/>
    </row>
    <row r="4" spans="1:11" x14ac:dyDescent="0.3">
      <c r="A4" s="240" t="s">
        <v>2</v>
      </c>
      <c r="B4" s="241"/>
      <c r="C4" s="242">
        <f>SUM(C2:C3)</f>
        <v>6334414.0099999998</v>
      </c>
      <c r="D4" s="243">
        <f>SUM(D2:D3)</f>
        <v>4802357.59</v>
      </c>
      <c r="E4" s="244">
        <f>SUM(E2:E3)</f>
        <v>1532056.42</v>
      </c>
      <c r="F4" s="244"/>
      <c r="G4" s="199"/>
      <c r="H4" s="250" t="s">
        <v>173</v>
      </c>
      <c r="I4" s="247">
        <v>146318.21</v>
      </c>
      <c r="J4" s="198"/>
      <c r="K4" s="199"/>
    </row>
    <row r="5" spans="1:11" ht="11.4" thickBot="1" x14ac:dyDescent="0.35">
      <c r="A5" s="203"/>
      <c r="B5" s="204"/>
      <c r="C5" s="205"/>
      <c r="D5" s="206"/>
      <c r="E5" s="207"/>
      <c r="F5" s="207"/>
      <c r="G5" s="199"/>
      <c r="H5" s="250" t="s">
        <v>255</v>
      </c>
      <c r="I5" s="247">
        <v>861477</v>
      </c>
      <c r="J5" s="198">
        <f>200000+150000+100000</f>
        <v>450000</v>
      </c>
      <c r="K5" s="206"/>
    </row>
    <row r="6" spans="1:11" ht="14.4" customHeight="1" thickBot="1" x14ac:dyDescent="0.35">
      <c r="A6" s="208"/>
      <c r="B6" s="209"/>
      <c r="C6" s="199"/>
      <c r="D6" s="199"/>
      <c r="E6" s="199"/>
      <c r="F6" s="199"/>
      <c r="G6" s="199"/>
      <c r="H6" s="335" t="s">
        <v>171</v>
      </c>
      <c r="I6" s="336">
        <v>204016</v>
      </c>
      <c r="J6" s="337">
        <v>204016</v>
      </c>
      <c r="K6" s="199" t="s">
        <v>389</v>
      </c>
    </row>
    <row r="7" spans="1:11" x14ac:dyDescent="0.3">
      <c r="A7" s="210"/>
      <c r="B7" s="211" t="s">
        <v>113</v>
      </c>
      <c r="C7" s="211" t="s">
        <v>257</v>
      </c>
      <c r="D7" s="199"/>
      <c r="E7" s="206"/>
      <c r="F7" s="199"/>
      <c r="G7" s="199"/>
      <c r="H7" s="335" t="s">
        <v>170</v>
      </c>
      <c r="I7" s="336">
        <v>202407</v>
      </c>
      <c r="J7" s="337">
        <v>202407</v>
      </c>
      <c r="K7" s="199" t="s">
        <v>389</v>
      </c>
    </row>
    <row r="8" spans="1:11" ht="13.8" customHeight="1" x14ac:dyDescent="0.3">
      <c r="A8" s="219" t="s">
        <v>68</v>
      </c>
      <c r="B8" s="212">
        <f>'Accounts against capex'!D15</f>
        <v>198220</v>
      </c>
      <c r="C8" s="212">
        <v>0</v>
      </c>
      <c r="D8" s="199"/>
      <c r="E8" s="206"/>
      <c r="F8" s="199"/>
      <c r="G8" s="199"/>
      <c r="H8" s="250" t="s">
        <v>174</v>
      </c>
      <c r="I8" s="247">
        <v>326683</v>
      </c>
      <c r="J8" s="198"/>
      <c r="K8" s="199"/>
    </row>
    <row r="9" spans="1:11" ht="11.4" thickBot="1" x14ac:dyDescent="0.35">
      <c r="A9" s="219" t="s">
        <v>195</v>
      </c>
      <c r="B9" s="212">
        <f>'Sal and fix working cap cost '!B25+'Sal and fix working cap cost '!C25+'Sal and fix working cap cost '!D25+'Sal and fix working cap cost '!E25</f>
        <v>374823.8</v>
      </c>
      <c r="C9" s="212">
        <v>0</v>
      </c>
      <c r="D9" s="199"/>
      <c r="E9" s="199"/>
      <c r="F9" s="199"/>
      <c r="G9" s="199"/>
      <c r="H9" s="251"/>
      <c r="I9" s="252"/>
      <c r="J9" s="253"/>
      <c r="K9" s="199"/>
    </row>
    <row r="10" spans="1:11" ht="11.4" thickBot="1" x14ac:dyDescent="0.35">
      <c r="A10" s="220" t="s">
        <v>69</v>
      </c>
      <c r="B10" s="212">
        <f>'Accounts against capex'!C39</f>
        <v>1465575</v>
      </c>
      <c r="C10" s="212">
        <v>0</v>
      </c>
      <c r="D10" s="199"/>
      <c r="E10" s="206"/>
      <c r="F10" s="199"/>
      <c r="G10" s="199"/>
      <c r="H10" s="254" t="s">
        <v>169</v>
      </c>
      <c r="I10" s="255">
        <f>SUM(I3:I9)</f>
        <v>2334585.21</v>
      </c>
      <c r="J10" s="256">
        <f>SUM(J3:J9)</f>
        <v>856423</v>
      </c>
      <c r="K10" s="199"/>
    </row>
    <row r="11" spans="1:11" ht="11.4" thickBot="1" x14ac:dyDescent="0.35">
      <c r="A11" s="220" t="s">
        <v>121</v>
      </c>
      <c r="B11" s="212">
        <f>'Accounts against capex'!C43</f>
        <v>1605000</v>
      </c>
      <c r="C11" s="212">
        <v>0</v>
      </c>
      <c r="D11" s="199"/>
      <c r="E11" s="199"/>
      <c r="F11" s="199"/>
      <c r="G11" s="199"/>
      <c r="H11" s="258" t="s">
        <v>256</v>
      </c>
      <c r="I11" s="257">
        <f>I10-J10</f>
        <v>1478162.21</v>
      </c>
      <c r="J11" s="199"/>
      <c r="K11" s="199"/>
    </row>
    <row r="12" spans="1:11" x14ac:dyDescent="0.3">
      <c r="A12" s="221" t="s">
        <v>182</v>
      </c>
      <c r="B12" s="213">
        <f>'Accounts against capex'!C53</f>
        <v>168213</v>
      </c>
      <c r="C12" s="213"/>
      <c r="D12" s="199"/>
      <c r="E12" s="199"/>
      <c r="F12" s="199"/>
      <c r="G12" s="199"/>
      <c r="H12" s="199"/>
      <c r="I12" s="199"/>
      <c r="J12" s="199"/>
      <c r="K12" s="199"/>
    </row>
    <row r="13" spans="1:11" x14ac:dyDescent="0.3">
      <c r="A13" s="220" t="s">
        <v>83</v>
      </c>
      <c r="B13" s="212">
        <f>'Accounts against capex'!C61</f>
        <v>187997</v>
      </c>
      <c r="C13" s="212"/>
      <c r="D13" s="199"/>
      <c r="E13" s="199"/>
      <c r="F13" s="199"/>
      <c r="G13" s="199"/>
      <c r="H13" s="199"/>
      <c r="I13" s="199"/>
      <c r="J13" s="199"/>
      <c r="K13" s="199"/>
    </row>
    <row r="14" spans="1:11" ht="11.4" thickBot="1" x14ac:dyDescent="0.35">
      <c r="A14" s="222" t="s">
        <v>53</v>
      </c>
      <c r="B14" s="214">
        <f>I10</f>
        <v>2334585.21</v>
      </c>
      <c r="C14" s="214">
        <f>I11</f>
        <v>1478162.21</v>
      </c>
      <c r="D14" s="199"/>
      <c r="E14" s="206"/>
      <c r="F14" s="206"/>
      <c r="G14" s="199"/>
      <c r="H14" s="199"/>
      <c r="I14" s="199"/>
      <c r="J14" s="199"/>
      <c r="K14" s="199"/>
    </row>
    <row r="15" spans="1:11" ht="11.4" thickBot="1" x14ac:dyDescent="0.35">
      <c r="A15" s="223" t="s">
        <v>112</v>
      </c>
      <c r="B15" s="215">
        <f>SUM(B8:B14)</f>
        <v>6334414.0099999998</v>
      </c>
      <c r="C15" s="215">
        <f>SUM(C8:C14)</f>
        <v>1478162.21</v>
      </c>
      <c r="D15" s="199"/>
      <c r="E15" s="206"/>
      <c r="F15" s="206"/>
      <c r="G15" s="199"/>
      <c r="H15" s="199"/>
      <c r="I15" s="206"/>
      <c r="J15" s="199"/>
      <c r="K15" s="199"/>
    </row>
    <row r="16" spans="1:11" x14ac:dyDescent="0.3">
      <c r="A16" s="199"/>
      <c r="B16" s="199"/>
      <c r="C16" s="199"/>
      <c r="D16" s="199"/>
      <c r="E16" s="199"/>
      <c r="F16" s="199"/>
      <c r="G16" s="199"/>
      <c r="H16" s="199"/>
      <c r="I16" s="206"/>
      <c r="J16" s="199"/>
      <c r="K16" s="199"/>
    </row>
    <row r="17" spans="1:11" x14ac:dyDescent="0.3">
      <c r="A17" s="199"/>
      <c r="B17" s="199"/>
      <c r="C17" s="199"/>
      <c r="D17" s="199"/>
      <c r="E17" s="199"/>
      <c r="F17" s="199"/>
      <c r="G17" s="199"/>
      <c r="H17" s="199"/>
      <c r="I17" s="216"/>
      <c r="J17" s="199"/>
      <c r="K17" s="199"/>
    </row>
    <row r="18" spans="1:11" x14ac:dyDescent="0.3">
      <c r="A18" s="203"/>
      <c r="B18" s="217"/>
      <c r="C18" s="218"/>
      <c r="D18" s="199"/>
      <c r="E18" s="199"/>
      <c r="F18" s="199"/>
      <c r="G18" s="199"/>
      <c r="H18" s="199"/>
      <c r="I18" s="199"/>
      <c r="J18" s="199"/>
      <c r="K18" s="199"/>
    </row>
    <row r="19" spans="1:11" x14ac:dyDescent="0.3">
      <c r="A19" s="203"/>
      <c r="B19" s="217"/>
      <c r="C19" s="218"/>
      <c r="D19" s="199"/>
      <c r="E19" s="199"/>
      <c r="F19" s="199"/>
      <c r="G19" s="199"/>
      <c r="H19" s="199"/>
      <c r="I19" s="199"/>
      <c r="J19" s="199"/>
      <c r="K19" s="199"/>
    </row>
    <row r="20" spans="1:11" x14ac:dyDescent="0.3">
      <c r="A20" s="203"/>
      <c r="B20" s="217"/>
      <c r="C20" s="218"/>
      <c r="D20" s="199"/>
      <c r="E20" s="199"/>
      <c r="F20" s="199"/>
      <c r="G20" s="199"/>
      <c r="H20" s="199"/>
      <c r="I20" s="199"/>
      <c r="J20" s="199"/>
      <c r="K20" s="199"/>
    </row>
    <row r="21" spans="1:11" x14ac:dyDescent="0.3">
      <c r="B21" s="104"/>
      <c r="C21" s="105"/>
    </row>
  </sheetData>
  <conditionalFormatting sqref="B15:C15">
    <cfRule type="cellIs" dxfId="0" priority="2" operator="lessThan">
      <formula>0</formula>
    </cfRule>
  </conditionalFormatting>
  <dataValidations disablePrompts="1" count="1">
    <dataValidation allowBlank="1" showInputMessage="1" showErrorMessage="1" prompt="Enter the cash paid out items for each month_x000a_" sqref="A6:B6" xr:uid="{6E07FBBF-CE60-45F2-A5CB-1D722726E8E8}"/>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AF93A-96F3-4BDC-9FF6-AE2453CEDC5F}">
  <dimension ref="A2:G28"/>
  <sheetViews>
    <sheetView topLeftCell="A8" workbookViewId="0">
      <selection activeCell="K24" sqref="K24"/>
    </sheetView>
  </sheetViews>
  <sheetFormatPr defaultRowHeight="14.4" x14ac:dyDescent="0.3"/>
  <cols>
    <col min="3" max="3" width="34.5546875" bestFit="1" customWidth="1"/>
    <col min="7" max="7" width="11.21875" bestFit="1" customWidth="1"/>
  </cols>
  <sheetData>
    <row r="2" spans="1:7" ht="15.6" x14ac:dyDescent="0.3">
      <c r="A2" s="405" t="s">
        <v>260</v>
      </c>
      <c r="B2" s="405"/>
      <c r="C2" s="405"/>
      <c r="D2" s="259"/>
      <c r="E2" s="259"/>
      <c r="F2" s="259"/>
      <c r="G2" s="259"/>
    </row>
    <row r="3" spans="1:7" x14ac:dyDescent="0.3">
      <c r="A3" s="401" t="s">
        <v>261</v>
      </c>
      <c r="B3" s="401"/>
      <c r="C3" s="401"/>
      <c r="D3" s="259"/>
      <c r="E3" s="259"/>
      <c r="F3" s="259"/>
      <c r="G3" s="259"/>
    </row>
    <row r="4" spans="1:7" x14ac:dyDescent="0.3">
      <c r="A4" s="401" t="s">
        <v>262</v>
      </c>
      <c r="B4" s="401"/>
      <c r="C4" s="401"/>
      <c r="D4" s="259"/>
      <c r="E4" s="259"/>
      <c r="F4" s="259"/>
      <c r="G4" s="259"/>
    </row>
    <row r="5" spans="1:7" x14ac:dyDescent="0.3">
      <c r="A5" s="401" t="s">
        <v>263</v>
      </c>
      <c r="B5" s="401"/>
      <c r="C5" s="401"/>
      <c r="D5" s="259"/>
      <c r="E5" s="259"/>
      <c r="F5" s="259"/>
      <c r="G5" s="259"/>
    </row>
    <row r="6" spans="1:7" x14ac:dyDescent="0.3">
      <c r="A6" s="406" t="s">
        <v>264</v>
      </c>
      <c r="B6" s="406"/>
      <c r="C6" s="406"/>
      <c r="D6" s="259"/>
      <c r="E6" s="259"/>
      <c r="F6" s="259"/>
      <c r="G6" s="259"/>
    </row>
    <row r="7" spans="1:7" ht="15.6" x14ac:dyDescent="0.3">
      <c r="A7" s="404" t="s">
        <v>371</v>
      </c>
      <c r="B7" s="404"/>
      <c r="C7" s="404"/>
      <c r="D7" s="259"/>
      <c r="E7" s="259"/>
      <c r="F7" s="259"/>
      <c r="G7" s="259"/>
    </row>
    <row r="8" spans="1:7" x14ac:dyDescent="0.3">
      <c r="A8" s="401" t="s">
        <v>266</v>
      </c>
      <c r="B8" s="401"/>
      <c r="C8" s="401"/>
      <c r="D8" s="259"/>
      <c r="E8" s="259"/>
      <c r="F8" s="259"/>
      <c r="G8" s="259"/>
    </row>
    <row r="9" spans="1:7" x14ac:dyDescent="0.3">
      <c r="A9" s="401" t="s">
        <v>267</v>
      </c>
      <c r="B9" s="401"/>
      <c r="C9" s="401"/>
      <c r="D9" s="259"/>
      <c r="E9" s="259"/>
      <c r="F9" s="259"/>
      <c r="G9" s="259"/>
    </row>
    <row r="10" spans="1:7" x14ac:dyDescent="0.3">
      <c r="A10" s="401" t="s">
        <v>267</v>
      </c>
      <c r="B10" s="401"/>
      <c r="C10" s="401"/>
      <c r="D10" s="259"/>
      <c r="E10" s="259"/>
      <c r="F10" s="259"/>
      <c r="G10" s="259"/>
    </row>
    <row r="11" spans="1:7" x14ac:dyDescent="0.3">
      <c r="A11" s="401" t="s">
        <v>268</v>
      </c>
      <c r="B11" s="401"/>
      <c r="C11" s="401"/>
      <c r="D11" s="259"/>
      <c r="E11" s="259"/>
      <c r="F11" s="259"/>
      <c r="G11" s="259"/>
    </row>
    <row r="12" spans="1:7" x14ac:dyDescent="0.3">
      <c r="A12" s="261" t="s">
        <v>269</v>
      </c>
      <c r="B12" s="402" t="s">
        <v>270</v>
      </c>
      <c r="C12" s="402"/>
      <c r="D12" s="262" t="s">
        <v>271</v>
      </c>
      <c r="E12" s="261" t="s">
        <v>272</v>
      </c>
      <c r="F12" s="263" t="s">
        <v>273</v>
      </c>
      <c r="G12" s="263" t="s">
        <v>274</v>
      </c>
    </row>
    <row r="13" spans="1:7" x14ac:dyDescent="0.3">
      <c r="A13" s="264">
        <v>45406</v>
      </c>
      <c r="B13" s="260" t="s">
        <v>275</v>
      </c>
      <c r="C13" s="265" t="s">
        <v>276</v>
      </c>
      <c r="D13" s="266" t="s">
        <v>277</v>
      </c>
      <c r="E13" s="267" t="s">
        <v>278</v>
      </c>
      <c r="F13" s="268"/>
      <c r="G13" s="269">
        <v>11000</v>
      </c>
    </row>
    <row r="14" spans="1:7" x14ac:dyDescent="0.3">
      <c r="A14" s="264">
        <v>45471</v>
      </c>
      <c r="B14" s="260" t="s">
        <v>275</v>
      </c>
      <c r="C14" s="265" t="s">
        <v>372</v>
      </c>
      <c r="D14" s="266" t="s">
        <v>277</v>
      </c>
      <c r="E14" s="267" t="s">
        <v>373</v>
      </c>
      <c r="F14" s="268"/>
      <c r="G14" s="269">
        <v>37000</v>
      </c>
    </row>
    <row r="15" spans="1:7" x14ac:dyDescent="0.3">
      <c r="A15" s="264">
        <v>45541</v>
      </c>
      <c r="B15" s="260" t="s">
        <v>275</v>
      </c>
      <c r="C15" s="265" t="s">
        <v>279</v>
      </c>
      <c r="D15" s="266" t="s">
        <v>280</v>
      </c>
      <c r="E15" s="267" t="s">
        <v>283</v>
      </c>
      <c r="F15" s="268"/>
      <c r="G15" s="269">
        <v>501</v>
      </c>
    </row>
    <row r="16" spans="1:7" x14ac:dyDescent="0.3">
      <c r="A16" s="264">
        <v>45541</v>
      </c>
      <c r="B16" s="260" t="s">
        <v>275</v>
      </c>
      <c r="C16" s="265" t="s">
        <v>279</v>
      </c>
      <c r="D16" s="266" t="s">
        <v>280</v>
      </c>
      <c r="E16" s="267" t="s">
        <v>374</v>
      </c>
      <c r="F16" s="268"/>
      <c r="G16" s="269">
        <v>101</v>
      </c>
    </row>
    <row r="17" spans="1:7" x14ac:dyDescent="0.3">
      <c r="A17" s="264">
        <v>45549</v>
      </c>
      <c r="B17" s="260" t="s">
        <v>307</v>
      </c>
      <c r="C17" s="265" t="s">
        <v>285</v>
      </c>
      <c r="D17" s="266" t="s">
        <v>353</v>
      </c>
      <c r="E17" s="267" t="s">
        <v>299</v>
      </c>
      <c r="F17" s="269">
        <v>602</v>
      </c>
      <c r="G17" s="268"/>
    </row>
    <row r="18" spans="1:7" x14ac:dyDescent="0.3">
      <c r="A18" s="264">
        <v>45575</v>
      </c>
      <c r="B18" s="260" t="s">
        <v>275</v>
      </c>
      <c r="C18" s="265" t="s">
        <v>279</v>
      </c>
      <c r="D18" s="266" t="s">
        <v>280</v>
      </c>
      <c r="E18" s="267" t="s">
        <v>354</v>
      </c>
      <c r="F18" s="268"/>
      <c r="G18" s="269">
        <v>50000</v>
      </c>
    </row>
    <row r="19" spans="1:7" x14ac:dyDescent="0.3">
      <c r="A19" s="264">
        <v>45735</v>
      </c>
      <c r="B19" s="260" t="s">
        <v>275</v>
      </c>
      <c r="C19" s="265" t="s">
        <v>279</v>
      </c>
      <c r="D19" s="266" t="s">
        <v>280</v>
      </c>
      <c r="E19" s="267" t="s">
        <v>375</v>
      </c>
      <c r="F19" s="268"/>
      <c r="G19" s="269">
        <v>100000</v>
      </c>
    </row>
    <row r="20" spans="1:7" x14ac:dyDescent="0.3">
      <c r="A20" s="264">
        <v>45737</v>
      </c>
      <c r="B20" s="260" t="s">
        <v>275</v>
      </c>
      <c r="C20" s="265" t="s">
        <v>279</v>
      </c>
      <c r="D20" s="266" t="s">
        <v>280</v>
      </c>
      <c r="E20" s="267" t="s">
        <v>306</v>
      </c>
      <c r="F20" s="268"/>
      <c r="G20" s="269">
        <v>50000</v>
      </c>
    </row>
    <row r="21" spans="1:7" x14ac:dyDescent="0.3">
      <c r="A21" s="264">
        <v>45765</v>
      </c>
      <c r="B21" s="260" t="s">
        <v>275</v>
      </c>
      <c r="C21" s="265" t="s">
        <v>279</v>
      </c>
      <c r="D21" s="266" t="s">
        <v>280</v>
      </c>
      <c r="E21" s="267" t="s">
        <v>292</v>
      </c>
      <c r="F21" s="268"/>
      <c r="G21" s="269">
        <v>150000</v>
      </c>
    </row>
    <row r="22" spans="1:7" x14ac:dyDescent="0.3">
      <c r="A22" s="264">
        <v>45780</v>
      </c>
      <c r="B22" s="260" t="s">
        <v>275</v>
      </c>
      <c r="C22" s="265" t="s">
        <v>279</v>
      </c>
      <c r="D22" s="266" t="s">
        <v>280</v>
      </c>
      <c r="E22" s="267" t="s">
        <v>299</v>
      </c>
      <c r="F22" s="268"/>
      <c r="G22" s="269">
        <v>150000</v>
      </c>
    </row>
    <row r="23" spans="1:7" x14ac:dyDescent="0.3">
      <c r="A23" s="403">
        <v>602</v>
      </c>
      <c r="B23" s="403"/>
      <c r="C23" s="403"/>
      <c r="D23" s="403"/>
      <c r="E23" s="403"/>
      <c r="F23" s="403"/>
      <c r="G23" s="272">
        <v>548602</v>
      </c>
    </row>
    <row r="24" spans="1:7" x14ac:dyDescent="0.3">
      <c r="A24" s="273" t="s">
        <v>267</v>
      </c>
      <c r="B24" s="274" t="s">
        <v>307</v>
      </c>
      <c r="C24" s="271" t="s">
        <v>370</v>
      </c>
      <c r="D24" s="399">
        <v>548000</v>
      </c>
      <c r="E24" s="399"/>
      <c r="F24" s="399"/>
      <c r="G24" s="273"/>
    </row>
    <row r="25" spans="1:7" x14ac:dyDescent="0.3">
      <c r="A25" s="400">
        <v>548602</v>
      </c>
      <c r="B25" s="400"/>
      <c r="C25" s="400"/>
      <c r="D25" s="400"/>
      <c r="E25" s="400"/>
      <c r="F25" s="400"/>
      <c r="G25" s="320">
        <v>548602</v>
      </c>
    </row>
    <row r="27" spans="1:7" x14ac:dyDescent="0.3">
      <c r="F27">
        <v>610000</v>
      </c>
    </row>
    <row r="28" spans="1:7" x14ac:dyDescent="0.3">
      <c r="C28" t="s">
        <v>387</v>
      </c>
      <c r="F28">
        <v>100000</v>
      </c>
    </row>
  </sheetData>
  <mergeCells count="14">
    <mergeCell ref="A7:C7"/>
    <mergeCell ref="A2:C2"/>
    <mergeCell ref="A3:C3"/>
    <mergeCell ref="A4:C4"/>
    <mergeCell ref="A5:C5"/>
    <mergeCell ref="A6:C6"/>
    <mergeCell ref="D24:F24"/>
    <mergeCell ref="A25:F25"/>
    <mergeCell ref="A8:C8"/>
    <mergeCell ref="A9:C9"/>
    <mergeCell ref="A10:C10"/>
    <mergeCell ref="A11:C11"/>
    <mergeCell ref="B12:C12"/>
    <mergeCell ref="A23:F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7F44B-6D0D-4907-9EE6-4542B4E00E3D}">
  <dimension ref="A1:G108"/>
  <sheetViews>
    <sheetView topLeftCell="A95" workbookViewId="0">
      <selection activeCell="C110" sqref="C110"/>
    </sheetView>
  </sheetViews>
  <sheetFormatPr defaultRowHeight="14.4" x14ac:dyDescent="0.3"/>
  <cols>
    <col min="3" max="3" width="35.109375" bestFit="1" customWidth="1"/>
    <col min="7" max="7" width="10.5546875" bestFit="1" customWidth="1"/>
  </cols>
  <sheetData>
    <row r="1" spans="1:7" ht="15.6" x14ac:dyDescent="0.3">
      <c r="A1" s="405" t="s">
        <v>260</v>
      </c>
      <c r="B1" s="405"/>
      <c r="C1" s="405"/>
      <c r="D1" s="259"/>
      <c r="E1" s="259"/>
      <c r="F1" s="259"/>
      <c r="G1" s="259"/>
    </row>
    <row r="2" spans="1:7" x14ac:dyDescent="0.3">
      <c r="A2" s="401" t="s">
        <v>261</v>
      </c>
      <c r="B2" s="401"/>
      <c r="C2" s="401"/>
      <c r="D2" s="259"/>
      <c r="E2" s="259"/>
      <c r="F2" s="259"/>
      <c r="G2" s="259"/>
    </row>
    <row r="3" spans="1:7" x14ac:dyDescent="0.3">
      <c r="A3" s="401" t="s">
        <v>262</v>
      </c>
      <c r="B3" s="401"/>
      <c r="C3" s="401"/>
      <c r="D3" s="259"/>
      <c r="E3" s="259"/>
      <c r="F3" s="259"/>
      <c r="G3" s="259"/>
    </row>
    <row r="4" spans="1:7" x14ac:dyDescent="0.3">
      <c r="A4" s="401" t="s">
        <v>263</v>
      </c>
      <c r="B4" s="401"/>
      <c r="C4" s="401"/>
      <c r="D4" s="259"/>
      <c r="E4" s="259"/>
      <c r="F4" s="259"/>
      <c r="G4" s="259"/>
    </row>
    <row r="5" spans="1:7" x14ac:dyDescent="0.3">
      <c r="A5" s="406" t="s">
        <v>264</v>
      </c>
      <c r="B5" s="406"/>
      <c r="C5" s="406"/>
      <c r="D5" s="259"/>
      <c r="E5" s="259"/>
      <c r="F5" s="259"/>
      <c r="G5" s="259"/>
    </row>
    <row r="6" spans="1:7" ht="15.6" x14ac:dyDescent="0.3">
      <c r="A6" s="404" t="s">
        <v>265</v>
      </c>
      <c r="B6" s="404"/>
      <c r="C6" s="404"/>
      <c r="D6" s="259"/>
      <c r="E6" s="259"/>
      <c r="F6" s="259"/>
      <c r="G6" s="259"/>
    </row>
    <row r="7" spans="1:7" x14ac:dyDescent="0.3">
      <c r="A7" s="401" t="s">
        <v>266</v>
      </c>
      <c r="B7" s="401"/>
      <c r="C7" s="401"/>
      <c r="D7" s="259"/>
      <c r="E7" s="259"/>
      <c r="F7" s="259"/>
      <c r="G7" s="259"/>
    </row>
    <row r="8" spans="1:7" x14ac:dyDescent="0.3">
      <c r="A8" s="401" t="s">
        <v>267</v>
      </c>
      <c r="B8" s="401"/>
      <c r="C8" s="401"/>
      <c r="D8" s="259"/>
      <c r="E8" s="259"/>
      <c r="F8" s="259"/>
      <c r="G8" s="259"/>
    </row>
    <row r="9" spans="1:7" x14ac:dyDescent="0.3">
      <c r="A9" s="401" t="s">
        <v>267</v>
      </c>
      <c r="B9" s="401"/>
      <c r="C9" s="401"/>
      <c r="D9" s="259"/>
      <c r="E9" s="259"/>
      <c r="F9" s="259"/>
      <c r="G9" s="259"/>
    </row>
    <row r="10" spans="1:7" x14ac:dyDescent="0.3">
      <c r="A10" s="401" t="s">
        <v>377</v>
      </c>
      <c r="B10" s="401"/>
      <c r="C10" s="401"/>
      <c r="D10" s="259"/>
      <c r="E10" s="259"/>
      <c r="F10" s="259"/>
      <c r="G10" s="259"/>
    </row>
    <row r="11" spans="1:7" x14ac:dyDescent="0.3">
      <c r="A11" s="261" t="s">
        <v>269</v>
      </c>
      <c r="B11" s="402" t="s">
        <v>270</v>
      </c>
      <c r="C11" s="402"/>
      <c r="D11" s="262" t="s">
        <v>271</v>
      </c>
      <c r="E11" s="261" t="s">
        <v>272</v>
      </c>
      <c r="F11" s="263" t="s">
        <v>273</v>
      </c>
      <c r="G11" s="263" t="s">
        <v>274</v>
      </c>
    </row>
    <row r="12" spans="1:7" x14ac:dyDescent="0.3">
      <c r="A12" s="264">
        <v>45406</v>
      </c>
      <c r="B12" s="260" t="s">
        <v>275</v>
      </c>
      <c r="C12" s="265" t="s">
        <v>276</v>
      </c>
      <c r="D12" s="266" t="s">
        <v>277</v>
      </c>
      <c r="E12" s="267" t="s">
        <v>278</v>
      </c>
      <c r="F12" s="268"/>
      <c r="G12" s="269">
        <v>11000</v>
      </c>
    </row>
    <row r="13" spans="1:7" x14ac:dyDescent="0.3">
      <c r="A13" s="264">
        <v>45482</v>
      </c>
      <c r="B13" s="260" t="s">
        <v>275</v>
      </c>
      <c r="C13" s="265" t="s">
        <v>279</v>
      </c>
      <c r="D13" s="266" t="s">
        <v>280</v>
      </c>
      <c r="E13" s="267" t="s">
        <v>281</v>
      </c>
      <c r="F13" s="268"/>
      <c r="G13" s="269">
        <v>11</v>
      </c>
    </row>
    <row r="14" spans="1:7" x14ac:dyDescent="0.3">
      <c r="A14" s="264">
        <v>45482</v>
      </c>
      <c r="B14" s="260" t="s">
        <v>275</v>
      </c>
      <c r="C14" s="265" t="s">
        <v>279</v>
      </c>
      <c r="D14" s="266" t="s">
        <v>280</v>
      </c>
      <c r="E14" s="267" t="s">
        <v>373</v>
      </c>
      <c r="F14" s="268"/>
      <c r="G14" s="269">
        <v>75000</v>
      </c>
    </row>
    <row r="15" spans="1:7" x14ac:dyDescent="0.3">
      <c r="A15" s="264">
        <v>45482</v>
      </c>
      <c r="B15" s="260" t="s">
        <v>307</v>
      </c>
      <c r="C15" s="265" t="s">
        <v>282</v>
      </c>
      <c r="D15" s="266" t="s">
        <v>277</v>
      </c>
      <c r="E15" s="267" t="s">
        <v>283</v>
      </c>
      <c r="F15" s="269">
        <v>38000</v>
      </c>
      <c r="G15" s="268"/>
    </row>
    <row r="16" spans="1:7" x14ac:dyDescent="0.3">
      <c r="A16" s="264">
        <v>45516</v>
      </c>
      <c r="B16" s="260" t="s">
        <v>275</v>
      </c>
      <c r="C16" s="265" t="s">
        <v>378</v>
      </c>
      <c r="D16" s="266" t="s">
        <v>277</v>
      </c>
      <c r="E16" s="267" t="s">
        <v>379</v>
      </c>
      <c r="F16" s="268"/>
      <c r="G16" s="269">
        <v>28000</v>
      </c>
    </row>
    <row r="17" spans="1:7" x14ac:dyDescent="0.3">
      <c r="A17" s="264">
        <v>45518</v>
      </c>
      <c r="B17" s="260" t="s">
        <v>275</v>
      </c>
      <c r="C17" s="265" t="s">
        <v>279</v>
      </c>
      <c r="D17" s="266" t="s">
        <v>280</v>
      </c>
      <c r="E17" s="267" t="s">
        <v>284</v>
      </c>
      <c r="F17" s="268"/>
      <c r="G17" s="269">
        <v>100000</v>
      </c>
    </row>
    <row r="18" spans="1:7" x14ac:dyDescent="0.3">
      <c r="A18" s="264">
        <v>45523</v>
      </c>
      <c r="B18" s="260" t="s">
        <v>275</v>
      </c>
      <c r="C18" s="265" t="s">
        <v>378</v>
      </c>
      <c r="D18" s="266" t="s">
        <v>277</v>
      </c>
      <c r="E18" s="267" t="s">
        <v>380</v>
      </c>
      <c r="F18" s="268"/>
      <c r="G18" s="269">
        <v>18000</v>
      </c>
    </row>
    <row r="19" spans="1:7" x14ac:dyDescent="0.3">
      <c r="A19" s="264">
        <v>45549</v>
      </c>
      <c r="B19" s="260" t="s">
        <v>275</v>
      </c>
      <c r="C19" s="265" t="s">
        <v>285</v>
      </c>
      <c r="D19" s="266" t="s">
        <v>280</v>
      </c>
      <c r="E19" s="267" t="s">
        <v>286</v>
      </c>
      <c r="F19" s="268"/>
      <c r="G19" s="269">
        <v>2000</v>
      </c>
    </row>
    <row r="20" spans="1:7" x14ac:dyDescent="0.3">
      <c r="A20" s="264">
        <v>45556</v>
      </c>
      <c r="B20" s="260" t="s">
        <v>275</v>
      </c>
      <c r="C20" s="265" t="s">
        <v>279</v>
      </c>
      <c r="D20" s="266" t="s">
        <v>280</v>
      </c>
      <c r="E20" s="267" t="s">
        <v>287</v>
      </c>
      <c r="F20" s="268"/>
      <c r="G20" s="269">
        <v>50000</v>
      </c>
    </row>
    <row r="21" spans="1:7" x14ac:dyDescent="0.3">
      <c r="A21" s="264">
        <v>45567</v>
      </c>
      <c r="B21" s="260" t="s">
        <v>275</v>
      </c>
      <c r="C21" s="265" t="s">
        <v>288</v>
      </c>
      <c r="D21" s="266" t="s">
        <v>277</v>
      </c>
      <c r="E21" s="267" t="s">
        <v>289</v>
      </c>
      <c r="F21" s="268"/>
      <c r="G21" s="269">
        <v>50000</v>
      </c>
    </row>
    <row r="22" spans="1:7" x14ac:dyDescent="0.3">
      <c r="A22" s="264">
        <v>45569</v>
      </c>
      <c r="B22" s="260" t="s">
        <v>275</v>
      </c>
      <c r="C22" s="265" t="s">
        <v>279</v>
      </c>
      <c r="D22" s="266" t="s">
        <v>280</v>
      </c>
      <c r="E22" s="267" t="s">
        <v>290</v>
      </c>
      <c r="F22" s="268"/>
      <c r="G22" s="269">
        <v>150000</v>
      </c>
    </row>
    <row r="23" spans="1:7" x14ac:dyDescent="0.3">
      <c r="A23" s="264">
        <v>45576</v>
      </c>
      <c r="B23" s="260" t="s">
        <v>275</v>
      </c>
      <c r="C23" s="265" t="s">
        <v>279</v>
      </c>
      <c r="D23" s="266" t="s">
        <v>280</v>
      </c>
      <c r="E23" s="267" t="s">
        <v>291</v>
      </c>
      <c r="F23" s="268"/>
      <c r="G23" s="269">
        <v>80000</v>
      </c>
    </row>
    <row r="24" spans="1:7" x14ac:dyDescent="0.3">
      <c r="A24" s="264">
        <v>45587</v>
      </c>
      <c r="B24" s="260" t="s">
        <v>275</v>
      </c>
      <c r="C24" s="265" t="s">
        <v>279</v>
      </c>
      <c r="D24" s="266" t="s">
        <v>280</v>
      </c>
      <c r="E24" s="267" t="s">
        <v>292</v>
      </c>
      <c r="F24" s="268"/>
      <c r="G24" s="269">
        <v>100000</v>
      </c>
    </row>
    <row r="25" spans="1:7" x14ac:dyDescent="0.3">
      <c r="A25" s="264">
        <v>45593</v>
      </c>
      <c r="B25" s="260" t="s">
        <v>275</v>
      </c>
      <c r="C25" s="265" t="s">
        <v>279</v>
      </c>
      <c r="D25" s="266" t="s">
        <v>280</v>
      </c>
      <c r="E25" s="267" t="s">
        <v>293</v>
      </c>
      <c r="F25" s="268"/>
      <c r="G25" s="269">
        <v>50000</v>
      </c>
    </row>
    <row r="26" spans="1:7" x14ac:dyDescent="0.3">
      <c r="A26" s="264">
        <v>45594</v>
      </c>
      <c r="B26" s="260" t="s">
        <v>275</v>
      </c>
      <c r="C26" s="265" t="s">
        <v>378</v>
      </c>
      <c r="D26" s="266" t="s">
        <v>277</v>
      </c>
      <c r="E26" s="267" t="s">
        <v>381</v>
      </c>
      <c r="F26" s="268"/>
      <c r="G26" s="269">
        <v>12000</v>
      </c>
    </row>
    <row r="27" spans="1:7" x14ac:dyDescent="0.3">
      <c r="A27" s="264">
        <v>45603</v>
      </c>
      <c r="B27" s="260" t="s">
        <v>275</v>
      </c>
      <c r="C27" s="265" t="s">
        <v>279</v>
      </c>
      <c r="D27" s="266" t="s">
        <v>280</v>
      </c>
      <c r="E27" s="267" t="s">
        <v>294</v>
      </c>
      <c r="F27" s="268"/>
      <c r="G27" s="269">
        <v>100000</v>
      </c>
    </row>
    <row r="28" spans="1:7" x14ac:dyDescent="0.3">
      <c r="A28" s="264">
        <v>45604</v>
      </c>
      <c r="B28" s="260" t="s">
        <v>275</v>
      </c>
      <c r="C28" s="265" t="s">
        <v>279</v>
      </c>
      <c r="D28" s="266" t="s">
        <v>280</v>
      </c>
      <c r="E28" s="267" t="s">
        <v>295</v>
      </c>
      <c r="F28" s="268"/>
      <c r="G28" s="269">
        <v>180000</v>
      </c>
    </row>
    <row r="29" spans="1:7" x14ac:dyDescent="0.3">
      <c r="A29" s="264">
        <v>45611</v>
      </c>
      <c r="B29" s="260" t="s">
        <v>275</v>
      </c>
      <c r="C29" s="265" t="s">
        <v>279</v>
      </c>
      <c r="D29" s="266" t="s">
        <v>280</v>
      </c>
      <c r="E29" s="267" t="s">
        <v>296</v>
      </c>
      <c r="F29" s="268"/>
      <c r="G29" s="269">
        <v>100000</v>
      </c>
    </row>
    <row r="30" spans="1:7" x14ac:dyDescent="0.3">
      <c r="A30" s="264">
        <v>45619</v>
      </c>
      <c r="B30" s="260" t="s">
        <v>275</v>
      </c>
      <c r="C30" s="265" t="s">
        <v>279</v>
      </c>
      <c r="D30" s="266" t="s">
        <v>280</v>
      </c>
      <c r="E30" s="267" t="s">
        <v>297</v>
      </c>
      <c r="F30" s="268"/>
      <c r="G30" s="269">
        <v>20000</v>
      </c>
    </row>
    <row r="31" spans="1:7" x14ac:dyDescent="0.3">
      <c r="A31" s="264">
        <v>45623</v>
      </c>
      <c r="B31" s="260" t="s">
        <v>275</v>
      </c>
      <c r="C31" s="265" t="s">
        <v>279</v>
      </c>
      <c r="D31" s="266" t="s">
        <v>280</v>
      </c>
      <c r="E31" s="267" t="s">
        <v>298</v>
      </c>
      <c r="F31" s="268"/>
      <c r="G31" s="269">
        <v>100000</v>
      </c>
    </row>
    <row r="32" spans="1:7" x14ac:dyDescent="0.3">
      <c r="A32" s="264">
        <v>45628</v>
      </c>
      <c r="B32" s="260" t="s">
        <v>275</v>
      </c>
      <c r="C32" s="265" t="s">
        <v>279</v>
      </c>
      <c r="D32" s="266" t="s">
        <v>280</v>
      </c>
      <c r="E32" s="267" t="s">
        <v>299</v>
      </c>
      <c r="F32" s="268"/>
      <c r="G32" s="269">
        <v>350000</v>
      </c>
    </row>
    <row r="33" spans="1:7" x14ac:dyDescent="0.3">
      <c r="A33" s="264">
        <v>45629</v>
      </c>
      <c r="B33" s="260" t="s">
        <v>275</v>
      </c>
      <c r="C33" s="265" t="s">
        <v>288</v>
      </c>
      <c r="D33" s="266" t="s">
        <v>277</v>
      </c>
      <c r="E33" s="267" t="s">
        <v>382</v>
      </c>
      <c r="F33" s="268"/>
      <c r="G33" s="269">
        <v>50000</v>
      </c>
    </row>
    <row r="34" spans="1:7" x14ac:dyDescent="0.3">
      <c r="A34" s="264">
        <v>45638</v>
      </c>
      <c r="B34" s="260" t="s">
        <v>275</v>
      </c>
      <c r="C34" s="265" t="s">
        <v>279</v>
      </c>
      <c r="D34" s="266" t="s">
        <v>280</v>
      </c>
      <c r="E34" s="267" t="s">
        <v>300</v>
      </c>
      <c r="F34" s="268"/>
      <c r="G34" s="269">
        <v>200000</v>
      </c>
    </row>
    <row r="35" spans="1:7" x14ac:dyDescent="0.3">
      <c r="A35" s="264">
        <v>45640</v>
      </c>
      <c r="B35" s="260" t="s">
        <v>275</v>
      </c>
      <c r="C35" s="265" t="s">
        <v>301</v>
      </c>
      <c r="D35" s="266" t="s">
        <v>277</v>
      </c>
      <c r="E35" s="267" t="s">
        <v>302</v>
      </c>
      <c r="F35" s="268"/>
      <c r="G35" s="269">
        <v>739</v>
      </c>
    </row>
    <row r="36" spans="1:7" x14ac:dyDescent="0.3">
      <c r="A36" s="264">
        <v>45641</v>
      </c>
      <c r="B36" s="260" t="s">
        <v>275</v>
      </c>
      <c r="C36" s="265" t="s">
        <v>279</v>
      </c>
      <c r="D36" s="266" t="s">
        <v>280</v>
      </c>
      <c r="E36" s="267" t="s">
        <v>303</v>
      </c>
      <c r="F36" s="268"/>
      <c r="G36" s="269">
        <v>450000</v>
      </c>
    </row>
    <row r="37" spans="1:7" x14ac:dyDescent="0.3">
      <c r="A37" s="264">
        <v>45646</v>
      </c>
      <c r="B37" s="260" t="s">
        <v>275</v>
      </c>
      <c r="C37" s="265" t="s">
        <v>305</v>
      </c>
      <c r="D37" s="266" t="s">
        <v>277</v>
      </c>
      <c r="E37" s="267" t="s">
        <v>306</v>
      </c>
      <c r="F37" s="268"/>
      <c r="G37" s="269">
        <v>8239</v>
      </c>
    </row>
    <row r="38" spans="1:7" x14ac:dyDescent="0.3">
      <c r="A38" s="264">
        <v>45650</v>
      </c>
      <c r="B38" s="260" t="s">
        <v>275</v>
      </c>
      <c r="C38" s="265" t="s">
        <v>378</v>
      </c>
      <c r="D38" s="266" t="s">
        <v>277</v>
      </c>
      <c r="E38" s="267" t="s">
        <v>383</v>
      </c>
      <c r="F38" s="268"/>
      <c r="G38" s="269">
        <v>34300</v>
      </c>
    </row>
    <row r="39" spans="1:7" x14ac:dyDescent="0.3">
      <c r="A39" s="264">
        <v>45653</v>
      </c>
      <c r="B39" s="260" t="s">
        <v>307</v>
      </c>
      <c r="C39" s="265" t="s">
        <v>308</v>
      </c>
      <c r="D39" s="266" t="s">
        <v>277</v>
      </c>
      <c r="E39" s="267" t="s">
        <v>309</v>
      </c>
      <c r="F39" s="269">
        <v>30000</v>
      </c>
      <c r="G39" s="268"/>
    </row>
    <row r="40" spans="1:7" x14ac:dyDescent="0.3">
      <c r="A40" s="264">
        <v>45654</v>
      </c>
      <c r="B40" s="260" t="s">
        <v>275</v>
      </c>
      <c r="C40" s="265" t="s">
        <v>310</v>
      </c>
      <c r="D40" s="266" t="s">
        <v>277</v>
      </c>
      <c r="E40" s="267" t="s">
        <v>311</v>
      </c>
      <c r="F40" s="268"/>
      <c r="G40" s="269">
        <v>119168</v>
      </c>
    </row>
    <row r="41" spans="1:7" x14ac:dyDescent="0.3">
      <c r="A41" s="264">
        <v>45654</v>
      </c>
      <c r="B41" s="260" t="s">
        <v>275</v>
      </c>
      <c r="C41" s="265" t="s">
        <v>279</v>
      </c>
      <c r="D41" s="266" t="s">
        <v>280</v>
      </c>
      <c r="E41" s="267" t="s">
        <v>312</v>
      </c>
      <c r="F41" s="268"/>
      <c r="G41" s="269">
        <v>30000</v>
      </c>
    </row>
    <row r="42" spans="1:7" x14ac:dyDescent="0.3">
      <c r="A42" s="264">
        <v>45657</v>
      </c>
      <c r="B42" s="260" t="s">
        <v>275</v>
      </c>
      <c r="C42" s="265" t="s">
        <v>279</v>
      </c>
      <c r="D42" s="266" t="s">
        <v>280</v>
      </c>
      <c r="E42" s="267" t="s">
        <v>313</v>
      </c>
      <c r="F42" s="268"/>
      <c r="G42" s="269">
        <v>20000</v>
      </c>
    </row>
    <row r="43" spans="1:7" x14ac:dyDescent="0.3">
      <c r="A43" s="264">
        <v>45658</v>
      </c>
      <c r="B43" s="260" t="s">
        <v>275</v>
      </c>
      <c r="C43" s="265" t="s">
        <v>314</v>
      </c>
      <c r="D43" s="266" t="s">
        <v>277</v>
      </c>
      <c r="E43" s="267" t="s">
        <v>315</v>
      </c>
      <c r="F43" s="268"/>
      <c r="G43" s="269">
        <v>3235.06</v>
      </c>
    </row>
    <row r="44" spans="1:7" x14ac:dyDescent="0.3">
      <c r="A44" s="264">
        <v>45658</v>
      </c>
      <c r="B44" s="260" t="s">
        <v>275</v>
      </c>
      <c r="C44" s="265" t="s">
        <v>285</v>
      </c>
      <c r="D44" s="266" t="s">
        <v>280</v>
      </c>
      <c r="E44" s="267" t="s">
        <v>316</v>
      </c>
      <c r="F44" s="268"/>
      <c r="G44" s="269">
        <v>10000</v>
      </c>
    </row>
    <row r="45" spans="1:7" x14ac:dyDescent="0.3">
      <c r="A45" s="264">
        <v>45658</v>
      </c>
      <c r="B45" s="260" t="s">
        <v>275</v>
      </c>
      <c r="C45" s="265" t="s">
        <v>285</v>
      </c>
      <c r="D45" s="266" t="s">
        <v>280</v>
      </c>
      <c r="E45" s="267" t="s">
        <v>317</v>
      </c>
      <c r="F45" s="268"/>
      <c r="G45" s="269">
        <v>1416</v>
      </c>
    </row>
    <row r="46" spans="1:7" x14ac:dyDescent="0.3">
      <c r="A46" s="264">
        <v>45659</v>
      </c>
      <c r="B46" s="260" t="s">
        <v>275</v>
      </c>
      <c r="C46" s="265" t="s">
        <v>279</v>
      </c>
      <c r="D46" s="266" t="s">
        <v>280</v>
      </c>
      <c r="E46" s="267" t="s">
        <v>318</v>
      </c>
      <c r="F46" s="268"/>
      <c r="G46" s="269">
        <v>20000</v>
      </c>
    </row>
    <row r="47" spans="1:7" x14ac:dyDescent="0.3">
      <c r="A47" s="264">
        <v>45660</v>
      </c>
      <c r="B47" s="260" t="s">
        <v>275</v>
      </c>
      <c r="C47" s="265" t="s">
        <v>279</v>
      </c>
      <c r="D47" s="266" t="s">
        <v>280</v>
      </c>
      <c r="E47" s="267" t="s">
        <v>319</v>
      </c>
      <c r="F47" s="268"/>
      <c r="G47" s="269">
        <v>20000</v>
      </c>
    </row>
    <row r="48" spans="1:7" x14ac:dyDescent="0.3">
      <c r="A48" s="264">
        <v>45660</v>
      </c>
      <c r="B48" s="260" t="s">
        <v>275</v>
      </c>
      <c r="C48" s="265" t="s">
        <v>320</v>
      </c>
      <c r="D48" s="266" t="s">
        <v>277</v>
      </c>
      <c r="E48" s="267" t="s">
        <v>321</v>
      </c>
      <c r="F48" s="268"/>
      <c r="G48" s="269">
        <v>47200</v>
      </c>
    </row>
    <row r="49" spans="1:7" x14ac:dyDescent="0.3">
      <c r="A49" s="264">
        <v>45664</v>
      </c>
      <c r="B49" s="260" t="s">
        <v>275</v>
      </c>
      <c r="C49" s="265" t="s">
        <v>322</v>
      </c>
      <c r="D49" s="266" t="s">
        <v>277</v>
      </c>
      <c r="E49" s="267" t="s">
        <v>323</v>
      </c>
      <c r="F49" s="268"/>
      <c r="G49" s="269">
        <v>422</v>
      </c>
    </row>
    <row r="50" spans="1:7" x14ac:dyDescent="0.3">
      <c r="A50" s="264">
        <v>45664</v>
      </c>
      <c r="B50" s="260" t="s">
        <v>275</v>
      </c>
      <c r="C50" s="265" t="s">
        <v>324</v>
      </c>
      <c r="D50" s="266" t="s">
        <v>277</v>
      </c>
      <c r="E50" s="267" t="s">
        <v>325</v>
      </c>
      <c r="F50" s="268"/>
      <c r="G50" s="269">
        <v>33962.29</v>
      </c>
    </row>
    <row r="51" spans="1:7" x14ac:dyDescent="0.3">
      <c r="A51" s="264">
        <v>45666</v>
      </c>
      <c r="B51" s="260" t="s">
        <v>275</v>
      </c>
      <c r="C51" s="265" t="s">
        <v>279</v>
      </c>
      <c r="D51" s="266" t="s">
        <v>280</v>
      </c>
      <c r="E51" s="267" t="s">
        <v>326</v>
      </c>
      <c r="F51" s="268"/>
      <c r="G51" s="269">
        <v>70000</v>
      </c>
    </row>
    <row r="52" spans="1:7" x14ac:dyDescent="0.3">
      <c r="A52" s="264">
        <v>45668</v>
      </c>
      <c r="B52" s="260" t="s">
        <v>307</v>
      </c>
      <c r="C52" s="265" t="s">
        <v>308</v>
      </c>
      <c r="D52" s="266" t="s">
        <v>277</v>
      </c>
      <c r="E52" s="267" t="s">
        <v>327</v>
      </c>
      <c r="F52" s="269">
        <v>4700</v>
      </c>
      <c r="G52" s="268"/>
    </row>
    <row r="53" spans="1:7" x14ac:dyDescent="0.3">
      <c r="A53" s="264">
        <v>45669</v>
      </c>
      <c r="B53" s="260" t="s">
        <v>275</v>
      </c>
      <c r="C53" s="265" t="s">
        <v>279</v>
      </c>
      <c r="D53" s="266" t="s">
        <v>280</v>
      </c>
      <c r="E53" s="267" t="s">
        <v>328</v>
      </c>
      <c r="F53" s="268"/>
      <c r="G53" s="269">
        <v>4700</v>
      </c>
    </row>
    <row r="54" spans="1:7" x14ac:dyDescent="0.3">
      <c r="A54" s="264">
        <v>45670</v>
      </c>
      <c r="B54" s="260" t="s">
        <v>275</v>
      </c>
      <c r="C54" s="265" t="s">
        <v>310</v>
      </c>
      <c r="D54" s="266" t="s">
        <v>277</v>
      </c>
      <c r="E54" s="267" t="s">
        <v>329</v>
      </c>
      <c r="F54" s="268"/>
      <c r="G54" s="269">
        <v>24844.9</v>
      </c>
    </row>
    <row r="55" spans="1:7" x14ac:dyDescent="0.3">
      <c r="A55" s="264">
        <v>45672</v>
      </c>
      <c r="B55" s="260" t="s">
        <v>275</v>
      </c>
      <c r="C55" s="265" t="s">
        <v>279</v>
      </c>
      <c r="D55" s="266" t="s">
        <v>280</v>
      </c>
      <c r="E55" s="267" t="s">
        <v>330</v>
      </c>
      <c r="F55" s="268"/>
      <c r="G55" s="269">
        <v>150000</v>
      </c>
    </row>
    <row r="56" spans="1:7" x14ac:dyDescent="0.3">
      <c r="A56" s="264">
        <v>45672</v>
      </c>
      <c r="B56" s="260" t="s">
        <v>275</v>
      </c>
      <c r="C56" s="265" t="s">
        <v>331</v>
      </c>
      <c r="D56" s="266" t="s">
        <v>277</v>
      </c>
      <c r="E56" s="267" t="s">
        <v>332</v>
      </c>
      <c r="F56" s="268"/>
      <c r="G56" s="269">
        <v>1475</v>
      </c>
    </row>
    <row r="57" spans="1:7" x14ac:dyDescent="0.3">
      <c r="A57" s="264">
        <v>45672</v>
      </c>
      <c r="B57" s="260" t="s">
        <v>275</v>
      </c>
      <c r="C57" s="265" t="s">
        <v>324</v>
      </c>
      <c r="D57" s="266" t="s">
        <v>277</v>
      </c>
      <c r="E57" s="267" t="s">
        <v>333</v>
      </c>
      <c r="F57" s="268"/>
      <c r="G57" s="269">
        <v>5199</v>
      </c>
    </row>
    <row r="58" spans="1:7" x14ac:dyDescent="0.3">
      <c r="A58" s="264">
        <v>45684</v>
      </c>
      <c r="B58" s="260" t="s">
        <v>275</v>
      </c>
      <c r="C58" s="265" t="s">
        <v>334</v>
      </c>
      <c r="D58" s="266" t="s">
        <v>277</v>
      </c>
      <c r="E58" s="267" t="s">
        <v>335</v>
      </c>
      <c r="F58" s="268"/>
      <c r="G58" s="269">
        <v>1564</v>
      </c>
    </row>
    <row r="59" spans="1:7" x14ac:dyDescent="0.3">
      <c r="A59" s="264">
        <v>45686</v>
      </c>
      <c r="B59" s="260" t="s">
        <v>275</v>
      </c>
      <c r="C59" s="265" t="s">
        <v>336</v>
      </c>
      <c r="D59" s="266" t="s">
        <v>277</v>
      </c>
      <c r="E59" s="267" t="s">
        <v>337</v>
      </c>
      <c r="F59" s="268"/>
      <c r="G59" s="269">
        <v>189</v>
      </c>
    </row>
    <row r="60" spans="1:7" x14ac:dyDescent="0.3">
      <c r="A60" s="264">
        <v>45686</v>
      </c>
      <c r="B60" s="260" t="s">
        <v>275</v>
      </c>
      <c r="C60" s="265" t="s">
        <v>338</v>
      </c>
      <c r="D60" s="266" t="s">
        <v>277</v>
      </c>
      <c r="E60" s="267" t="s">
        <v>339</v>
      </c>
      <c r="F60" s="268"/>
      <c r="G60" s="269">
        <v>13000</v>
      </c>
    </row>
    <row r="61" spans="1:7" x14ac:dyDescent="0.3">
      <c r="A61" s="264">
        <v>45686</v>
      </c>
      <c r="B61" s="260" t="s">
        <v>275</v>
      </c>
      <c r="C61" s="265" t="s">
        <v>336</v>
      </c>
      <c r="D61" s="266" t="s">
        <v>277</v>
      </c>
      <c r="E61" s="267" t="s">
        <v>340</v>
      </c>
      <c r="F61" s="268"/>
      <c r="G61" s="269">
        <v>199</v>
      </c>
    </row>
    <row r="62" spans="1:7" x14ac:dyDescent="0.3">
      <c r="A62" s="264">
        <v>45686</v>
      </c>
      <c r="B62" s="260" t="s">
        <v>275</v>
      </c>
      <c r="C62" s="265" t="s">
        <v>322</v>
      </c>
      <c r="D62" s="266" t="s">
        <v>277</v>
      </c>
      <c r="E62" s="267" t="s">
        <v>316</v>
      </c>
      <c r="F62" s="268"/>
      <c r="G62" s="269">
        <v>225</v>
      </c>
    </row>
    <row r="63" spans="1:7" x14ac:dyDescent="0.3">
      <c r="A63" s="264">
        <v>45689</v>
      </c>
      <c r="B63" s="260" t="s">
        <v>275</v>
      </c>
      <c r="C63" s="265" t="s">
        <v>279</v>
      </c>
      <c r="D63" s="266" t="s">
        <v>280</v>
      </c>
      <c r="E63" s="267" t="s">
        <v>309</v>
      </c>
      <c r="F63" s="268"/>
      <c r="G63" s="269">
        <v>1427</v>
      </c>
    </row>
    <row r="64" spans="1:7" x14ac:dyDescent="0.3">
      <c r="A64" s="264">
        <v>45689</v>
      </c>
      <c r="B64" s="260" t="s">
        <v>307</v>
      </c>
      <c r="C64" s="265" t="s">
        <v>341</v>
      </c>
      <c r="D64" s="266" t="s">
        <v>277</v>
      </c>
      <c r="E64" s="267" t="s">
        <v>342</v>
      </c>
      <c r="F64" s="269">
        <v>1416</v>
      </c>
      <c r="G64" s="268"/>
    </row>
    <row r="65" spans="1:7" x14ac:dyDescent="0.3">
      <c r="A65" s="264">
        <v>45689</v>
      </c>
      <c r="B65" s="260" t="s">
        <v>275</v>
      </c>
      <c r="C65" s="265" t="s">
        <v>322</v>
      </c>
      <c r="D65" s="266" t="s">
        <v>277</v>
      </c>
      <c r="E65" s="267" t="s">
        <v>343</v>
      </c>
      <c r="F65" s="268"/>
      <c r="G65" s="269">
        <v>1230.7</v>
      </c>
    </row>
    <row r="66" spans="1:7" x14ac:dyDescent="0.3">
      <c r="A66" s="264">
        <v>45698</v>
      </c>
      <c r="B66" s="260" t="s">
        <v>275</v>
      </c>
      <c r="C66" s="265" t="s">
        <v>279</v>
      </c>
      <c r="D66" s="266" t="s">
        <v>280</v>
      </c>
      <c r="E66" s="267" t="s">
        <v>344</v>
      </c>
      <c r="F66" s="268"/>
      <c r="G66" s="269">
        <v>30000</v>
      </c>
    </row>
    <row r="67" spans="1:7" x14ac:dyDescent="0.3">
      <c r="A67" s="264">
        <v>45699</v>
      </c>
      <c r="B67" s="260" t="s">
        <v>275</v>
      </c>
      <c r="C67" s="265" t="s">
        <v>279</v>
      </c>
      <c r="D67" s="266" t="s">
        <v>280</v>
      </c>
      <c r="E67" s="267" t="s">
        <v>345</v>
      </c>
      <c r="F67" s="268"/>
      <c r="G67" s="269">
        <v>100</v>
      </c>
    </row>
    <row r="68" spans="1:7" x14ac:dyDescent="0.3">
      <c r="A68" s="264">
        <v>45699</v>
      </c>
      <c r="B68" s="260" t="s">
        <v>275</v>
      </c>
      <c r="C68" s="265" t="s">
        <v>279</v>
      </c>
      <c r="D68" s="266" t="s">
        <v>280</v>
      </c>
      <c r="E68" s="267" t="s">
        <v>335</v>
      </c>
      <c r="F68" s="268"/>
      <c r="G68" s="269">
        <v>100</v>
      </c>
    </row>
    <row r="69" spans="1:7" x14ac:dyDescent="0.3">
      <c r="A69" s="264">
        <v>45701</v>
      </c>
      <c r="B69" s="260" t="s">
        <v>275</v>
      </c>
      <c r="C69" s="265" t="s">
        <v>279</v>
      </c>
      <c r="D69" s="266" t="s">
        <v>280</v>
      </c>
      <c r="E69" s="267" t="s">
        <v>346</v>
      </c>
      <c r="F69" s="268"/>
      <c r="G69" s="269">
        <v>70000</v>
      </c>
    </row>
    <row r="70" spans="1:7" x14ac:dyDescent="0.3">
      <c r="A70" s="264">
        <v>45717</v>
      </c>
      <c r="B70" s="260" t="s">
        <v>275</v>
      </c>
      <c r="C70" s="265" t="s">
        <v>304</v>
      </c>
      <c r="D70" s="266" t="s">
        <v>277</v>
      </c>
      <c r="E70" s="267" t="s">
        <v>347</v>
      </c>
      <c r="F70" s="268"/>
      <c r="G70" s="269">
        <v>26980</v>
      </c>
    </row>
    <row r="71" spans="1:7" x14ac:dyDescent="0.3">
      <c r="A71" s="264">
        <v>45719</v>
      </c>
      <c r="B71" s="260" t="s">
        <v>275</v>
      </c>
      <c r="C71" s="265" t="s">
        <v>320</v>
      </c>
      <c r="D71" s="266" t="s">
        <v>277</v>
      </c>
      <c r="E71" s="267" t="s">
        <v>348</v>
      </c>
      <c r="F71" s="268"/>
      <c r="G71" s="269">
        <v>41300</v>
      </c>
    </row>
    <row r="72" spans="1:7" x14ac:dyDescent="0.3">
      <c r="A72" s="264">
        <v>45721</v>
      </c>
      <c r="B72" s="260" t="s">
        <v>307</v>
      </c>
      <c r="C72" s="265" t="s">
        <v>341</v>
      </c>
      <c r="D72" s="266" t="s">
        <v>277</v>
      </c>
      <c r="E72" s="267" t="s">
        <v>349</v>
      </c>
      <c r="F72" s="269">
        <v>1328</v>
      </c>
      <c r="G72" s="268"/>
    </row>
    <row r="73" spans="1:7" x14ac:dyDescent="0.3">
      <c r="A73" s="264">
        <v>45728</v>
      </c>
      <c r="B73" s="260" t="s">
        <v>275</v>
      </c>
      <c r="C73" s="265" t="s">
        <v>279</v>
      </c>
      <c r="D73" s="266" t="s">
        <v>280</v>
      </c>
      <c r="E73" s="267" t="s">
        <v>350</v>
      </c>
      <c r="F73" s="268"/>
      <c r="G73" s="269">
        <v>60000</v>
      </c>
    </row>
    <row r="74" spans="1:7" x14ac:dyDescent="0.3">
      <c r="A74" s="264">
        <v>45728</v>
      </c>
      <c r="B74" s="260" t="s">
        <v>275</v>
      </c>
      <c r="C74" s="265" t="s">
        <v>279</v>
      </c>
      <c r="D74" s="266" t="s">
        <v>280</v>
      </c>
      <c r="E74" s="267" t="s">
        <v>332</v>
      </c>
      <c r="F74" s="268"/>
      <c r="G74" s="269">
        <v>1328</v>
      </c>
    </row>
    <row r="75" spans="1:7" x14ac:dyDescent="0.3">
      <c r="A75" s="264">
        <v>45729</v>
      </c>
      <c r="B75" s="260" t="s">
        <v>275</v>
      </c>
      <c r="C75" s="265" t="s">
        <v>320</v>
      </c>
      <c r="D75" s="266" t="s">
        <v>277</v>
      </c>
      <c r="E75" s="267" t="s">
        <v>351</v>
      </c>
      <c r="F75" s="268"/>
      <c r="G75" s="269">
        <v>96996</v>
      </c>
    </row>
    <row r="76" spans="1:7" x14ac:dyDescent="0.3">
      <c r="A76" s="264">
        <v>45737</v>
      </c>
      <c r="B76" s="260" t="s">
        <v>275</v>
      </c>
      <c r="C76" s="265" t="s">
        <v>279</v>
      </c>
      <c r="D76" s="266" t="s">
        <v>280</v>
      </c>
      <c r="E76" s="267" t="s">
        <v>315</v>
      </c>
      <c r="F76" s="268"/>
      <c r="G76" s="269">
        <v>150000</v>
      </c>
    </row>
    <row r="77" spans="1:7" x14ac:dyDescent="0.3">
      <c r="A77" s="264">
        <v>45737</v>
      </c>
      <c r="B77" s="260" t="s">
        <v>275</v>
      </c>
      <c r="C77" s="265" t="s">
        <v>279</v>
      </c>
      <c r="D77" s="266" t="s">
        <v>280</v>
      </c>
      <c r="E77" s="267" t="s">
        <v>321</v>
      </c>
      <c r="F77" s="268"/>
      <c r="G77" s="269">
        <v>1020</v>
      </c>
    </row>
    <row r="78" spans="1:7" x14ac:dyDescent="0.3">
      <c r="A78" s="264">
        <v>45742</v>
      </c>
      <c r="B78" s="260" t="s">
        <v>307</v>
      </c>
      <c r="C78" s="265" t="s">
        <v>341</v>
      </c>
      <c r="D78" s="266" t="s">
        <v>277</v>
      </c>
      <c r="E78" s="267" t="s">
        <v>352</v>
      </c>
      <c r="F78" s="269">
        <v>1020</v>
      </c>
      <c r="G78" s="268"/>
    </row>
    <row r="79" spans="1:7" x14ac:dyDescent="0.3">
      <c r="A79" s="264">
        <v>45747</v>
      </c>
      <c r="B79" s="260" t="s">
        <v>275</v>
      </c>
      <c r="C79" s="265" t="s">
        <v>378</v>
      </c>
      <c r="D79" s="266" t="s">
        <v>277</v>
      </c>
      <c r="E79" s="267" t="s">
        <v>384</v>
      </c>
      <c r="F79" s="268"/>
      <c r="G79" s="269">
        <v>5000</v>
      </c>
    </row>
    <row r="80" spans="1:7" x14ac:dyDescent="0.3">
      <c r="A80" s="264">
        <v>45758</v>
      </c>
      <c r="B80" s="260" t="s">
        <v>307</v>
      </c>
      <c r="C80" s="265" t="s">
        <v>279</v>
      </c>
      <c r="D80" s="266" t="s">
        <v>353</v>
      </c>
      <c r="E80" s="267" t="s">
        <v>354</v>
      </c>
      <c r="F80" s="269">
        <v>3380</v>
      </c>
      <c r="G80" s="268"/>
    </row>
    <row r="81" spans="1:7" x14ac:dyDescent="0.3">
      <c r="A81" s="264">
        <v>45760</v>
      </c>
      <c r="B81" s="260" t="s">
        <v>275</v>
      </c>
      <c r="C81" s="265" t="s">
        <v>355</v>
      </c>
      <c r="D81" s="266" t="s">
        <v>277</v>
      </c>
      <c r="E81" s="267" t="s">
        <v>356</v>
      </c>
      <c r="F81" s="268"/>
      <c r="G81" s="269">
        <v>512.1</v>
      </c>
    </row>
    <row r="82" spans="1:7" x14ac:dyDescent="0.3">
      <c r="A82" s="264">
        <v>45761</v>
      </c>
      <c r="B82" s="260" t="s">
        <v>307</v>
      </c>
      <c r="C82" s="265" t="s">
        <v>279</v>
      </c>
      <c r="D82" s="266" t="s">
        <v>353</v>
      </c>
      <c r="E82" s="267" t="s">
        <v>293</v>
      </c>
      <c r="F82" s="269">
        <v>2250</v>
      </c>
      <c r="G82" s="268"/>
    </row>
    <row r="83" spans="1:7" x14ac:dyDescent="0.3">
      <c r="A83" s="264">
        <v>45762</v>
      </c>
      <c r="B83" s="260" t="s">
        <v>307</v>
      </c>
      <c r="C83" s="265" t="s">
        <v>279</v>
      </c>
      <c r="D83" s="266" t="s">
        <v>353</v>
      </c>
      <c r="E83" s="267" t="s">
        <v>295</v>
      </c>
      <c r="F83" s="269">
        <v>1012</v>
      </c>
      <c r="G83" s="268"/>
    </row>
    <row r="84" spans="1:7" x14ac:dyDescent="0.3">
      <c r="A84" s="264">
        <v>45762</v>
      </c>
      <c r="B84" s="260" t="s">
        <v>275</v>
      </c>
      <c r="C84" s="265" t="s">
        <v>279</v>
      </c>
      <c r="D84" s="266" t="s">
        <v>280</v>
      </c>
      <c r="E84" s="267" t="s">
        <v>283</v>
      </c>
      <c r="F84" s="268"/>
      <c r="G84" s="269">
        <v>75000</v>
      </c>
    </row>
    <row r="85" spans="1:7" x14ac:dyDescent="0.3">
      <c r="A85" s="264">
        <v>45763</v>
      </c>
      <c r="B85" s="260" t="s">
        <v>275</v>
      </c>
      <c r="C85" s="265" t="s">
        <v>357</v>
      </c>
      <c r="D85" s="266" t="s">
        <v>277</v>
      </c>
      <c r="E85" s="267" t="s">
        <v>358</v>
      </c>
      <c r="F85" s="268"/>
      <c r="G85" s="269">
        <v>298.62</v>
      </c>
    </row>
    <row r="86" spans="1:7" x14ac:dyDescent="0.3">
      <c r="A86" s="264">
        <v>45765</v>
      </c>
      <c r="B86" s="260" t="s">
        <v>275</v>
      </c>
      <c r="C86" s="265" t="s">
        <v>279</v>
      </c>
      <c r="D86" s="266" t="s">
        <v>280</v>
      </c>
      <c r="E86" s="267" t="s">
        <v>291</v>
      </c>
      <c r="F86" s="268"/>
      <c r="G86" s="269">
        <v>150000</v>
      </c>
    </row>
    <row r="87" spans="1:7" x14ac:dyDescent="0.3">
      <c r="A87" s="264">
        <v>45765</v>
      </c>
      <c r="B87" s="260" t="s">
        <v>307</v>
      </c>
      <c r="C87" s="265" t="s">
        <v>279</v>
      </c>
      <c r="D87" s="266" t="s">
        <v>353</v>
      </c>
      <c r="E87" s="267" t="s">
        <v>312</v>
      </c>
      <c r="F87" s="269">
        <v>20000</v>
      </c>
      <c r="G87" s="268"/>
    </row>
    <row r="88" spans="1:7" x14ac:dyDescent="0.3">
      <c r="A88" s="264">
        <v>45765</v>
      </c>
      <c r="B88" s="260" t="s">
        <v>275</v>
      </c>
      <c r="C88" s="265" t="s">
        <v>359</v>
      </c>
      <c r="D88" s="266" t="s">
        <v>277</v>
      </c>
      <c r="E88" s="267" t="s">
        <v>360</v>
      </c>
      <c r="F88" s="268"/>
      <c r="G88" s="269">
        <v>2124</v>
      </c>
    </row>
    <row r="89" spans="1:7" x14ac:dyDescent="0.3">
      <c r="A89" s="264">
        <v>45765</v>
      </c>
      <c r="B89" s="260" t="s">
        <v>275</v>
      </c>
      <c r="C89" s="265" t="s">
        <v>361</v>
      </c>
      <c r="D89" s="266" t="s">
        <v>277</v>
      </c>
      <c r="E89" s="267" t="s">
        <v>362</v>
      </c>
      <c r="F89" s="268"/>
      <c r="G89" s="269">
        <v>3177.79</v>
      </c>
    </row>
    <row r="90" spans="1:7" x14ac:dyDescent="0.3">
      <c r="A90" s="264">
        <v>45767</v>
      </c>
      <c r="B90" s="260" t="s">
        <v>275</v>
      </c>
      <c r="C90" s="265" t="s">
        <v>363</v>
      </c>
      <c r="D90" s="266" t="s">
        <v>277</v>
      </c>
      <c r="E90" s="267" t="s">
        <v>346</v>
      </c>
      <c r="F90" s="268"/>
      <c r="G90" s="269">
        <v>2645.49</v>
      </c>
    </row>
    <row r="91" spans="1:7" x14ac:dyDescent="0.3">
      <c r="A91" s="264">
        <v>45769</v>
      </c>
      <c r="B91" s="260" t="s">
        <v>275</v>
      </c>
      <c r="C91" s="265" t="s">
        <v>364</v>
      </c>
      <c r="D91" s="266" t="s">
        <v>277</v>
      </c>
      <c r="E91" s="267" t="s">
        <v>365</v>
      </c>
      <c r="F91" s="268"/>
      <c r="G91" s="269">
        <v>1351.33</v>
      </c>
    </row>
    <row r="92" spans="1:7" x14ac:dyDescent="0.3">
      <c r="A92" s="264">
        <v>45769</v>
      </c>
      <c r="B92" s="260" t="s">
        <v>275</v>
      </c>
      <c r="C92" s="265" t="s">
        <v>366</v>
      </c>
      <c r="D92" s="266" t="s">
        <v>277</v>
      </c>
      <c r="E92" s="267" t="s">
        <v>345</v>
      </c>
      <c r="F92" s="268"/>
      <c r="G92" s="269">
        <v>1141.06</v>
      </c>
    </row>
    <row r="93" spans="1:7" x14ac:dyDescent="0.3">
      <c r="A93" s="264">
        <v>45769</v>
      </c>
      <c r="B93" s="260" t="s">
        <v>275</v>
      </c>
      <c r="C93" s="265" t="s">
        <v>367</v>
      </c>
      <c r="D93" s="266" t="s">
        <v>277</v>
      </c>
      <c r="E93" s="267" t="s">
        <v>368</v>
      </c>
      <c r="F93" s="268"/>
      <c r="G93" s="269">
        <v>2345.25</v>
      </c>
    </row>
    <row r="94" spans="1:7" x14ac:dyDescent="0.3">
      <c r="A94" s="264">
        <v>45772</v>
      </c>
      <c r="B94" s="260" t="s">
        <v>307</v>
      </c>
      <c r="C94" s="265" t="s">
        <v>279</v>
      </c>
      <c r="D94" s="266" t="s">
        <v>353</v>
      </c>
      <c r="E94" s="267" t="s">
        <v>319</v>
      </c>
      <c r="F94" s="269">
        <v>13590</v>
      </c>
      <c r="G94" s="268"/>
    </row>
    <row r="95" spans="1:7" x14ac:dyDescent="0.3">
      <c r="A95" s="264">
        <v>45776</v>
      </c>
      <c r="B95" s="260" t="s">
        <v>307</v>
      </c>
      <c r="C95" s="265" t="s">
        <v>279</v>
      </c>
      <c r="D95" s="266" t="s">
        <v>353</v>
      </c>
      <c r="E95" s="267" t="s">
        <v>326</v>
      </c>
      <c r="F95" s="269">
        <v>4312</v>
      </c>
      <c r="G95" s="268"/>
    </row>
    <row r="96" spans="1:7" x14ac:dyDescent="0.3">
      <c r="A96" s="264">
        <v>45779</v>
      </c>
      <c r="B96" s="260" t="s">
        <v>275</v>
      </c>
      <c r="C96" s="265" t="s">
        <v>279</v>
      </c>
      <c r="D96" s="266" t="s">
        <v>280</v>
      </c>
      <c r="E96" s="267" t="s">
        <v>296</v>
      </c>
      <c r="F96" s="268"/>
      <c r="G96" s="269">
        <v>100000</v>
      </c>
    </row>
    <row r="97" spans="1:7" x14ac:dyDescent="0.3">
      <c r="A97" s="264">
        <v>45779</v>
      </c>
      <c r="B97" s="260" t="s">
        <v>275</v>
      </c>
      <c r="C97" s="265" t="s">
        <v>279</v>
      </c>
      <c r="D97" s="266" t="s">
        <v>280</v>
      </c>
      <c r="E97" s="267" t="s">
        <v>297</v>
      </c>
      <c r="F97" s="268"/>
      <c r="G97" s="269">
        <v>8000</v>
      </c>
    </row>
    <row r="98" spans="1:7" x14ac:dyDescent="0.3">
      <c r="A98" s="264">
        <v>45779</v>
      </c>
      <c r="B98" s="260" t="s">
        <v>275</v>
      </c>
      <c r="C98" s="265" t="s">
        <v>279</v>
      </c>
      <c r="D98" s="266" t="s">
        <v>280</v>
      </c>
      <c r="E98" s="267" t="s">
        <v>298</v>
      </c>
      <c r="F98" s="268"/>
      <c r="G98" s="269">
        <v>78000</v>
      </c>
    </row>
    <row r="99" spans="1:7" x14ac:dyDescent="0.3">
      <c r="A99" s="264">
        <v>45780</v>
      </c>
      <c r="B99" s="260" t="s">
        <v>307</v>
      </c>
      <c r="C99" s="265" t="s">
        <v>279</v>
      </c>
      <c r="D99" s="266" t="s">
        <v>353</v>
      </c>
      <c r="E99" s="267" t="s">
        <v>369</v>
      </c>
      <c r="F99" s="269">
        <v>8678</v>
      </c>
      <c r="G99" s="268"/>
    </row>
    <row r="100" spans="1:7" x14ac:dyDescent="0.3">
      <c r="A100" s="409">
        <v>129686</v>
      </c>
      <c r="B100" s="409"/>
      <c r="C100" s="409"/>
      <c r="D100" s="409"/>
      <c r="E100" s="409"/>
      <c r="F100" s="409"/>
      <c r="G100" s="321">
        <v>3806165.59</v>
      </c>
    </row>
    <row r="101" spans="1:7" x14ac:dyDescent="0.3">
      <c r="A101" s="322" t="s">
        <v>267</v>
      </c>
      <c r="B101" s="260" t="s">
        <v>307</v>
      </c>
      <c r="C101" s="323" t="s">
        <v>370</v>
      </c>
      <c r="D101" s="407">
        <v>3676479.59</v>
      </c>
      <c r="E101" s="407"/>
      <c r="F101" s="407"/>
      <c r="G101" s="324"/>
    </row>
    <row r="102" spans="1:7" x14ac:dyDescent="0.3">
      <c r="A102" s="408">
        <v>3806165.59</v>
      </c>
      <c r="B102" s="408"/>
      <c r="C102" s="408"/>
      <c r="D102" s="408"/>
      <c r="E102" s="408"/>
      <c r="F102" s="408"/>
      <c r="G102" s="270">
        <v>3806165.59</v>
      </c>
    </row>
    <row r="104" spans="1:7" x14ac:dyDescent="0.3">
      <c r="C104" t="s">
        <v>396</v>
      </c>
      <c r="G104">
        <v>100000</v>
      </c>
    </row>
    <row r="105" spans="1:7" x14ac:dyDescent="0.3">
      <c r="C105" t="s">
        <v>395</v>
      </c>
      <c r="G105">
        <v>81500</v>
      </c>
    </row>
    <row r="106" spans="1:7" x14ac:dyDescent="0.3">
      <c r="C106" t="s">
        <v>399</v>
      </c>
      <c r="G106">
        <v>24692</v>
      </c>
    </row>
    <row r="107" spans="1:7" x14ac:dyDescent="0.3">
      <c r="C107" t="s">
        <v>400</v>
      </c>
      <c r="G107">
        <v>50000</v>
      </c>
    </row>
    <row r="108" spans="1:7" x14ac:dyDescent="0.3">
      <c r="C108" t="s">
        <v>400</v>
      </c>
      <c r="G108">
        <v>30000</v>
      </c>
    </row>
  </sheetData>
  <mergeCells count="14">
    <mergeCell ref="D101:F101"/>
    <mergeCell ref="A102:F102"/>
    <mergeCell ref="A7:C7"/>
    <mergeCell ref="A8:C8"/>
    <mergeCell ref="A9:C9"/>
    <mergeCell ref="A10:C10"/>
    <mergeCell ref="B11:C11"/>
    <mergeCell ref="A100:F100"/>
    <mergeCell ref="A6:C6"/>
    <mergeCell ref="A1:C1"/>
    <mergeCell ref="A2:C2"/>
    <mergeCell ref="A3:C3"/>
    <mergeCell ref="A4:C4"/>
    <mergeCell ref="A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DFAA6-1268-4E42-B81E-11793D754C85}">
  <dimension ref="A1:F69"/>
  <sheetViews>
    <sheetView zoomScale="110" zoomScaleNormal="110" workbookViewId="0">
      <selection activeCell="H8" sqref="H8"/>
    </sheetView>
  </sheetViews>
  <sheetFormatPr defaultColWidth="8.77734375" defaultRowHeight="12" x14ac:dyDescent="0.25"/>
  <cols>
    <col min="1" max="1" width="66.88671875" style="29" bestFit="1" customWidth="1"/>
    <col min="2" max="2" width="20.33203125" style="29" bestFit="1" customWidth="1"/>
    <col min="3" max="4" width="10.33203125" style="29" bestFit="1" customWidth="1"/>
    <col min="5" max="5" width="8.33203125" style="29" bestFit="1" customWidth="1"/>
    <col min="6" max="7" width="13.77734375" style="29" bestFit="1" customWidth="1"/>
    <col min="8" max="8" width="8.77734375" style="29"/>
    <col min="9" max="9" width="12.109375" style="29" bestFit="1" customWidth="1"/>
    <col min="10" max="16384" width="8.77734375" style="29"/>
  </cols>
  <sheetData>
    <row r="1" spans="1:5" s="24" customFormat="1" x14ac:dyDescent="0.25">
      <c r="A1" s="20" t="s">
        <v>68</v>
      </c>
      <c r="B1" s="21" t="s">
        <v>47</v>
      </c>
      <c r="C1" s="54" t="s">
        <v>0</v>
      </c>
      <c r="D1" s="22" t="s">
        <v>70</v>
      </c>
      <c r="E1" s="23" t="s">
        <v>71</v>
      </c>
    </row>
    <row r="2" spans="1:5" x14ac:dyDescent="0.25">
      <c r="A2" s="25" t="s">
        <v>29</v>
      </c>
      <c r="B2" s="26" t="s">
        <v>34</v>
      </c>
      <c r="C2" s="49">
        <v>0</v>
      </c>
      <c r="D2" s="27">
        <v>0</v>
      </c>
      <c r="E2" s="28">
        <f>C2-D2</f>
        <v>0</v>
      </c>
    </row>
    <row r="3" spans="1:5" x14ac:dyDescent="0.25">
      <c r="A3" s="25" t="s">
        <v>56</v>
      </c>
      <c r="B3" s="30" t="s">
        <v>48</v>
      </c>
      <c r="C3" s="49">
        <v>11000</v>
      </c>
      <c r="D3" s="27">
        <v>11000</v>
      </c>
      <c r="E3" s="28">
        <f t="shared" ref="E3:E14" si="0">C3-D3</f>
        <v>0</v>
      </c>
    </row>
    <row r="4" spans="1:5" x14ac:dyDescent="0.25">
      <c r="A4" s="25" t="s">
        <v>57</v>
      </c>
      <c r="B4" s="30" t="s">
        <v>49</v>
      </c>
      <c r="C4" s="49">
        <v>11000</v>
      </c>
      <c r="D4" s="27">
        <v>11000</v>
      </c>
      <c r="E4" s="28">
        <f t="shared" si="0"/>
        <v>0</v>
      </c>
    </row>
    <row r="5" spans="1:5" x14ac:dyDescent="0.25">
      <c r="A5" s="25" t="s">
        <v>58</v>
      </c>
      <c r="B5" s="30" t="s">
        <v>34</v>
      </c>
      <c r="C5" s="49">
        <f>D5</f>
        <v>11900</v>
      </c>
      <c r="D5" s="27">
        <v>11900</v>
      </c>
      <c r="E5" s="28">
        <f t="shared" si="0"/>
        <v>0</v>
      </c>
    </row>
    <row r="6" spans="1:5" x14ac:dyDescent="0.25">
      <c r="A6" s="25" t="s">
        <v>45</v>
      </c>
      <c r="B6" s="30" t="s">
        <v>48</v>
      </c>
      <c r="C6" s="49">
        <v>26000</v>
      </c>
      <c r="D6" s="27">
        <f>13000+13000</f>
        <v>26000</v>
      </c>
      <c r="E6" s="28">
        <f t="shared" si="0"/>
        <v>0</v>
      </c>
    </row>
    <row r="7" spans="1:5" x14ac:dyDescent="0.25">
      <c r="A7" s="25" t="s">
        <v>52</v>
      </c>
      <c r="B7" s="30" t="s">
        <v>48</v>
      </c>
      <c r="C7" s="49">
        <v>5800</v>
      </c>
      <c r="D7" s="27">
        <v>5800</v>
      </c>
      <c r="E7" s="28">
        <f t="shared" si="0"/>
        <v>0</v>
      </c>
    </row>
    <row r="8" spans="1:5" x14ac:dyDescent="0.25">
      <c r="A8" s="25" t="s">
        <v>50</v>
      </c>
      <c r="B8" s="30" t="s">
        <v>34</v>
      </c>
      <c r="C8" s="49">
        <v>14750</v>
      </c>
      <c r="D8" s="27">
        <v>14750</v>
      </c>
      <c r="E8" s="28">
        <f t="shared" si="0"/>
        <v>0</v>
      </c>
    </row>
    <row r="9" spans="1:5" x14ac:dyDescent="0.25">
      <c r="A9" s="25" t="s">
        <v>54</v>
      </c>
      <c r="B9" s="30" t="s">
        <v>34</v>
      </c>
      <c r="C9" s="49">
        <f>6900+27570</f>
        <v>34470</v>
      </c>
      <c r="D9" s="27">
        <f>C9</f>
        <v>34470</v>
      </c>
      <c r="E9" s="28">
        <f t="shared" si="0"/>
        <v>0</v>
      </c>
    </row>
    <row r="10" spans="1:5" x14ac:dyDescent="0.25">
      <c r="A10" s="25" t="s">
        <v>44</v>
      </c>
      <c r="B10" s="30" t="s">
        <v>34</v>
      </c>
      <c r="C10" s="49">
        <v>37000</v>
      </c>
      <c r="D10" s="27">
        <f>C10</f>
        <v>37000</v>
      </c>
      <c r="E10" s="28">
        <f t="shared" si="0"/>
        <v>0</v>
      </c>
    </row>
    <row r="11" spans="1:5" x14ac:dyDescent="0.25">
      <c r="A11" s="25" t="s">
        <v>91</v>
      </c>
      <c r="B11" s="30" t="s">
        <v>48</v>
      </c>
      <c r="C11" s="49">
        <v>29000</v>
      </c>
      <c r="D11" s="27">
        <v>29000</v>
      </c>
      <c r="E11" s="28">
        <f t="shared" si="0"/>
        <v>0</v>
      </c>
    </row>
    <row r="12" spans="1:5" x14ac:dyDescent="0.25">
      <c r="A12" s="25" t="s">
        <v>92</v>
      </c>
      <c r="B12" s="30" t="s">
        <v>34</v>
      </c>
      <c r="C12" s="49">
        <v>12500</v>
      </c>
      <c r="D12" s="27">
        <v>12500</v>
      </c>
      <c r="E12" s="28">
        <f t="shared" si="0"/>
        <v>0</v>
      </c>
    </row>
    <row r="13" spans="1:5" x14ac:dyDescent="0.25">
      <c r="A13" s="25" t="s">
        <v>72</v>
      </c>
      <c r="B13" s="30" t="s">
        <v>34</v>
      </c>
      <c r="C13" s="49">
        <v>1800</v>
      </c>
      <c r="D13" s="27">
        <v>1800</v>
      </c>
      <c r="E13" s="28">
        <f t="shared" si="0"/>
        <v>0</v>
      </c>
    </row>
    <row r="14" spans="1:5" x14ac:dyDescent="0.25">
      <c r="A14" s="25" t="s">
        <v>46</v>
      </c>
      <c r="B14" s="30" t="s">
        <v>48</v>
      </c>
      <c r="C14" s="49">
        <v>3000</v>
      </c>
      <c r="D14" s="27">
        <v>3000</v>
      </c>
      <c r="E14" s="28">
        <f t="shared" si="0"/>
        <v>0</v>
      </c>
    </row>
    <row r="15" spans="1:5" x14ac:dyDescent="0.25">
      <c r="A15" s="31" t="s">
        <v>0</v>
      </c>
      <c r="B15" s="32"/>
      <c r="C15" s="50">
        <f>SUM(C2:C14)</f>
        <v>198220</v>
      </c>
      <c r="D15" s="33">
        <f>SUM(D3:D14)</f>
        <v>198220</v>
      </c>
      <c r="E15" s="34">
        <f>SUM(E2:E14)</f>
        <v>0</v>
      </c>
    </row>
    <row r="16" spans="1:5" x14ac:dyDescent="0.25">
      <c r="A16" s="35" t="s">
        <v>69</v>
      </c>
      <c r="B16" s="36"/>
      <c r="C16" s="51"/>
      <c r="D16" s="37"/>
      <c r="E16" s="38"/>
    </row>
    <row r="17" spans="1:6" x14ac:dyDescent="0.25">
      <c r="A17" s="25" t="s">
        <v>37</v>
      </c>
      <c r="B17" s="30" t="s">
        <v>34</v>
      </c>
      <c r="C17" s="49">
        <v>150000</v>
      </c>
      <c r="D17" s="27">
        <v>150000</v>
      </c>
      <c r="E17" s="28">
        <f>C17-D17</f>
        <v>0</v>
      </c>
    </row>
    <row r="18" spans="1:6" x14ac:dyDescent="0.25">
      <c r="A18" s="25" t="s">
        <v>55</v>
      </c>
      <c r="B18" s="30" t="s">
        <v>34</v>
      </c>
      <c r="C18" s="49">
        <f>3700+34611+6300</f>
        <v>44611</v>
      </c>
      <c r="D18" s="27">
        <f>C18</f>
        <v>44611</v>
      </c>
      <c r="E18" s="28">
        <f t="shared" ref="E18:E38" si="1">C18-D18</f>
        <v>0</v>
      </c>
    </row>
    <row r="19" spans="1:6" x14ac:dyDescent="0.25">
      <c r="A19" s="25" t="s">
        <v>78</v>
      </c>
      <c r="B19" s="30" t="s">
        <v>48</v>
      </c>
      <c r="C19" s="49">
        <v>3750</v>
      </c>
      <c r="D19" s="27">
        <v>3750</v>
      </c>
      <c r="E19" s="28">
        <f>C19-D19</f>
        <v>0</v>
      </c>
    </row>
    <row r="20" spans="1:6" x14ac:dyDescent="0.25">
      <c r="A20" s="25" t="s">
        <v>117</v>
      </c>
      <c r="B20" s="30" t="s">
        <v>34</v>
      </c>
      <c r="C20" s="49">
        <v>449570</v>
      </c>
      <c r="D20" s="27">
        <f>C20</f>
        <v>449570</v>
      </c>
      <c r="E20" s="28">
        <f>C20-D20</f>
        <v>0</v>
      </c>
      <c r="F20" s="39"/>
    </row>
    <row r="21" spans="1:6" x14ac:dyDescent="0.25">
      <c r="A21" s="25" t="s">
        <v>86</v>
      </c>
      <c r="B21" s="30" t="s">
        <v>48</v>
      </c>
      <c r="C21" s="49">
        <f>7990+1799+739+899</f>
        <v>11427</v>
      </c>
      <c r="D21" s="27">
        <v>11427</v>
      </c>
      <c r="E21" s="28">
        <f>C21-D21</f>
        <v>0</v>
      </c>
    </row>
    <row r="22" spans="1:6" x14ac:dyDescent="0.25">
      <c r="A22" s="25" t="s">
        <v>77</v>
      </c>
      <c r="B22" s="30" t="s">
        <v>34</v>
      </c>
      <c r="C22" s="49">
        <v>75000</v>
      </c>
      <c r="D22" s="27">
        <v>75000</v>
      </c>
      <c r="E22" s="28">
        <f>C22-D22</f>
        <v>0</v>
      </c>
    </row>
    <row r="23" spans="1:6" x14ac:dyDescent="0.25">
      <c r="A23" s="25" t="s">
        <v>84</v>
      </c>
      <c r="B23" s="30" t="s">
        <v>34</v>
      </c>
      <c r="C23" s="49">
        <v>334058</v>
      </c>
      <c r="D23" s="27">
        <v>334058</v>
      </c>
      <c r="E23" s="28">
        <f t="shared" si="1"/>
        <v>0</v>
      </c>
    </row>
    <row r="24" spans="1:6" x14ac:dyDescent="0.25">
      <c r="A24" s="25" t="s">
        <v>79</v>
      </c>
      <c r="B24" s="30" t="s">
        <v>34</v>
      </c>
      <c r="C24" s="49">
        <v>55110</v>
      </c>
      <c r="D24" s="27">
        <v>55110</v>
      </c>
      <c r="E24" s="28">
        <f t="shared" si="1"/>
        <v>0</v>
      </c>
    </row>
    <row r="25" spans="1:6" x14ac:dyDescent="0.25">
      <c r="A25" s="25" t="s">
        <v>88</v>
      </c>
      <c r="B25" s="30" t="s">
        <v>85</v>
      </c>
      <c r="C25" s="49">
        <f>119168-5000-850-400</f>
        <v>112918</v>
      </c>
      <c r="D25" s="27">
        <f>C25</f>
        <v>112918</v>
      </c>
      <c r="E25" s="28">
        <f t="shared" si="1"/>
        <v>0</v>
      </c>
    </row>
    <row r="26" spans="1:6" x14ac:dyDescent="0.25">
      <c r="A26" s="25" t="s">
        <v>108</v>
      </c>
      <c r="B26" s="30" t="s">
        <v>85</v>
      </c>
      <c r="C26" s="49">
        <v>24845</v>
      </c>
      <c r="D26" s="27">
        <v>24845</v>
      </c>
      <c r="E26" s="28">
        <f t="shared" ref="E26:E31" si="2">C26-D26</f>
        <v>0</v>
      </c>
    </row>
    <row r="27" spans="1:6" x14ac:dyDescent="0.25">
      <c r="A27" s="25" t="s">
        <v>89</v>
      </c>
      <c r="B27" s="30" t="s">
        <v>85</v>
      </c>
      <c r="C27" s="49">
        <v>850</v>
      </c>
      <c r="D27" s="27">
        <v>850</v>
      </c>
      <c r="E27" s="28">
        <f t="shared" si="2"/>
        <v>0</v>
      </c>
    </row>
    <row r="28" spans="1:6" x14ac:dyDescent="0.25">
      <c r="A28" s="25" t="s">
        <v>90</v>
      </c>
      <c r="B28" s="30" t="s">
        <v>85</v>
      </c>
      <c r="C28" s="49">
        <v>5000</v>
      </c>
      <c r="D28" s="27">
        <v>5000</v>
      </c>
      <c r="E28" s="28">
        <f t="shared" si="2"/>
        <v>0</v>
      </c>
    </row>
    <row r="29" spans="1:6" x14ac:dyDescent="0.25">
      <c r="A29" s="25" t="s">
        <v>100</v>
      </c>
      <c r="B29" s="30" t="s">
        <v>85</v>
      </c>
      <c r="C29" s="49">
        <v>2000</v>
      </c>
      <c r="D29" s="27">
        <v>2000</v>
      </c>
      <c r="E29" s="28">
        <f t="shared" si="2"/>
        <v>0</v>
      </c>
    </row>
    <row r="30" spans="1:6" x14ac:dyDescent="0.25">
      <c r="A30" s="40" t="s">
        <v>53</v>
      </c>
      <c r="B30" s="41" t="s">
        <v>130</v>
      </c>
      <c r="C30" s="43">
        <v>0</v>
      </c>
      <c r="D30" s="42">
        <v>0</v>
      </c>
      <c r="E30" s="43">
        <f t="shared" si="2"/>
        <v>0</v>
      </c>
    </row>
    <row r="31" spans="1:6" x14ac:dyDescent="0.25">
      <c r="A31" s="25" t="s">
        <v>122</v>
      </c>
      <c r="B31" s="30" t="s">
        <v>34</v>
      </c>
      <c r="C31" s="49">
        <v>14147</v>
      </c>
      <c r="D31" s="27">
        <f>C31</f>
        <v>14147</v>
      </c>
      <c r="E31" s="28">
        <f t="shared" si="2"/>
        <v>0</v>
      </c>
    </row>
    <row r="32" spans="1:6" x14ac:dyDescent="0.25">
      <c r="A32" s="25" t="s">
        <v>32</v>
      </c>
      <c r="B32" s="30" t="s">
        <v>48</v>
      </c>
      <c r="C32" s="49">
        <f>5690</f>
        <v>5690</v>
      </c>
      <c r="D32" s="27">
        <v>5690</v>
      </c>
      <c r="E32" s="28">
        <f t="shared" si="1"/>
        <v>0</v>
      </c>
    </row>
    <row r="33" spans="1:6" x14ac:dyDescent="0.25">
      <c r="A33" s="25" t="s">
        <v>80</v>
      </c>
      <c r="B33" s="30" t="s">
        <v>48</v>
      </c>
      <c r="C33" s="49">
        <v>25000</v>
      </c>
      <c r="D33" s="27">
        <v>25000</v>
      </c>
      <c r="E33" s="28">
        <f t="shared" si="1"/>
        <v>0</v>
      </c>
    </row>
    <row r="34" spans="1:6" x14ac:dyDescent="0.25">
      <c r="A34" s="25" t="s">
        <v>81</v>
      </c>
      <c r="B34" s="30" t="s">
        <v>48</v>
      </c>
      <c r="C34" s="49">
        <f>599</f>
        <v>599</v>
      </c>
      <c r="D34" s="27">
        <v>599</v>
      </c>
      <c r="E34" s="28">
        <f t="shared" si="1"/>
        <v>0</v>
      </c>
    </row>
    <row r="35" spans="1:6" x14ac:dyDescent="0.25">
      <c r="A35" s="25" t="s">
        <v>101</v>
      </c>
      <c r="B35" s="30" t="s">
        <v>48</v>
      </c>
      <c r="C35" s="49">
        <v>34000</v>
      </c>
      <c r="D35" s="27">
        <v>34000</v>
      </c>
      <c r="E35" s="28">
        <f t="shared" si="1"/>
        <v>0</v>
      </c>
    </row>
    <row r="36" spans="1:6" x14ac:dyDescent="0.25">
      <c r="A36" s="25" t="s">
        <v>82</v>
      </c>
      <c r="B36" s="30" t="s">
        <v>48</v>
      </c>
      <c r="C36" s="49">
        <v>5200</v>
      </c>
      <c r="D36" s="27">
        <v>5200</v>
      </c>
      <c r="E36" s="28">
        <f>C36-D36</f>
        <v>0</v>
      </c>
    </row>
    <row r="37" spans="1:6" x14ac:dyDescent="0.25">
      <c r="A37" s="25" t="s">
        <v>87</v>
      </c>
      <c r="B37" s="30" t="s">
        <v>34</v>
      </c>
      <c r="C37" s="49">
        <v>7800</v>
      </c>
      <c r="D37" s="27">
        <v>7800</v>
      </c>
      <c r="E37" s="28">
        <f t="shared" si="1"/>
        <v>0</v>
      </c>
    </row>
    <row r="38" spans="1:6" x14ac:dyDescent="0.25">
      <c r="A38" s="25" t="s">
        <v>65</v>
      </c>
      <c r="B38" s="30" t="s">
        <v>34</v>
      </c>
      <c r="C38" s="49">
        <v>104000</v>
      </c>
      <c r="D38" s="27">
        <f>104000</f>
        <v>104000</v>
      </c>
      <c r="E38" s="28">
        <f t="shared" si="1"/>
        <v>0</v>
      </c>
      <c r="F38" s="44"/>
    </row>
    <row r="39" spans="1:6" x14ac:dyDescent="0.25">
      <c r="A39" s="31" t="s">
        <v>2</v>
      </c>
      <c r="B39" s="32"/>
      <c r="C39" s="50">
        <f>SUM(C17:C38)</f>
        <v>1465575</v>
      </c>
      <c r="D39" s="33">
        <f>SUM(D17:D38)</f>
        <v>1465575</v>
      </c>
      <c r="E39" s="34">
        <f>SUM(E18:E38)</f>
        <v>0</v>
      </c>
      <c r="F39" s="44"/>
    </row>
    <row r="40" spans="1:6" x14ac:dyDescent="0.25">
      <c r="A40" s="35" t="s">
        <v>121</v>
      </c>
      <c r="B40" s="30"/>
      <c r="C40" s="49"/>
      <c r="D40" s="27"/>
      <c r="E40" s="28"/>
      <c r="F40" s="44"/>
    </row>
    <row r="41" spans="1:6" ht="14.4" customHeight="1" x14ac:dyDescent="0.25">
      <c r="A41" s="25" t="s">
        <v>125</v>
      </c>
      <c r="B41" s="30" t="s">
        <v>34</v>
      </c>
      <c r="C41" s="49">
        <f>(1250000+250000)-75000+25000-10000</f>
        <v>1440000</v>
      </c>
      <c r="D41" s="27">
        <f>C41</f>
        <v>1440000</v>
      </c>
      <c r="E41" s="28">
        <f>C41-D41</f>
        <v>0</v>
      </c>
      <c r="F41" s="45"/>
    </row>
    <row r="42" spans="1:6" x14ac:dyDescent="0.25">
      <c r="A42" s="25" t="s">
        <v>126</v>
      </c>
      <c r="B42" s="30" t="s">
        <v>127</v>
      </c>
      <c r="C42" s="49">
        <v>165000</v>
      </c>
      <c r="D42" s="27">
        <f>C42</f>
        <v>165000</v>
      </c>
      <c r="E42" s="28">
        <f t="shared" ref="E42" si="3">C42-D42</f>
        <v>0</v>
      </c>
    </row>
    <row r="43" spans="1:6" x14ac:dyDescent="0.25">
      <c r="A43" s="31" t="s">
        <v>0</v>
      </c>
      <c r="B43" s="32"/>
      <c r="C43" s="50">
        <f>SUM(C41:C42)</f>
        <v>1605000</v>
      </c>
      <c r="D43" s="33">
        <f>SUM(D41:D42)</f>
        <v>1605000</v>
      </c>
      <c r="E43" s="34">
        <f>SUM(E41:E42)</f>
        <v>0</v>
      </c>
    </row>
    <row r="44" spans="1:6" x14ac:dyDescent="0.25">
      <c r="A44" s="35" t="s">
        <v>128</v>
      </c>
      <c r="B44" s="30"/>
      <c r="C44" s="49"/>
      <c r="D44" s="27"/>
      <c r="E44" s="28"/>
    </row>
    <row r="45" spans="1:6" x14ac:dyDescent="0.25">
      <c r="A45" s="25" t="s">
        <v>102</v>
      </c>
      <c r="B45" s="30" t="s">
        <v>34</v>
      </c>
      <c r="C45" s="49">
        <v>22000</v>
      </c>
      <c r="D45" s="27">
        <v>22000</v>
      </c>
      <c r="E45" s="28">
        <f>C45-D45</f>
        <v>0</v>
      </c>
    </row>
    <row r="46" spans="1:6" x14ac:dyDescent="0.25">
      <c r="A46" s="25" t="s">
        <v>103</v>
      </c>
      <c r="B46" s="30" t="s">
        <v>48</v>
      </c>
      <c r="C46" s="49">
        <f>241+241+259+420+1400+500</f>
        <v>3061</v>
      </c>
      <c r="D46" s="27">
        <v>3061</v>
      </c>
      <c r="E46" s="28">
        <f>C46-D46</f>
        <v>0</v>
      </c>
    </row>
    <row r="47" spans="1:6" x14ac:dyDescent="0.25">
      <c r="A47" s="25" t="s">
        <v>114</v>
      </c>
      <c r="B47" s="30" t="s">
        <v>48</v>
      </c>
      <c r="C47" s="49">
        <f>47200+41700</f>
        <v>88900</v>
      </c>
      <c r="D47" s="27">
        <f>C47</f>
        <v>88900</v>
      </c>
      <c r="E47" s="28">
        <f>C47-D47</f>
        <v>0</v>
      </c>
    </row>
    <row r="48" spans="1:6" x14ac:dyDescent="0.25">
      <c r="A48" s="25" t="s">
        <v>106</v>
      </c>
      <c r="B48" s="30" t="s">
        <v>34</v>
      </c>
      <c r="C48" s="49">
        <v>13452</v>
      </c>
      <c r="D48" s="27">
        <v>13452</v>
      </c>
      <c r="E48" s="28">
        <f>C48-D48</f>
        <v>0</v>
      </c>
    </row>
    <row r="49" spans="1:6" x14ac:dyDescent="0.25">
      <c r="A49" s="25" t="s">
        <v>116</v>
      </c>
      <c r="B49" s="30" t="s">
        <v>34</v>
      </c>
      <c r="C49" s="49">
        <f>21600/2</f>
        <v>10800</v>
      </c>
      <c r="D49" s="27">
        <f>C49</f>
        <v>10800</v>
      </c>
      <c r="E49" s="28">
        <f>C49-D49</f>
        <v>0</v>
      </c>
      <c r="F49" s="44"/>
    </row>
    <row r="50" spans="1:6" x14ac:dyDescent="0.25">
      <c r="A50" s="25" t="s">
        <v>104</v>
      </c>
      <c r="B50" s="30" t="s">
        <v>34</v>
      </c>
      <c r="C50" s="49">
        <v>0</v>
      </c>
      <c r="D50" s="27">
        <f>C50</f>
        <v>0</v>
      </c>
      <c r="E50" s="28">
        <v>0</v>
      </c>
      <c r="F50" s="44"/>
    </row>
    <row r="51" spans="1:6" x14ac:dyDescent="0.25">
      <c r="A51" s="25" t="s">
        <v>105</v>
      </c>
      <c r="B51" s="30" t="s">
        <v>34</v>
      </c>
      <c r="C51" s="49">
        <v>30000</v>
      </c>
      <c r="D51" s="27">
        <v>30000</v>
      </c>
      <c r="E51" s="28">
        <f>C51-D51</f>
        <v>0</v>
      </c>
      <c r="F51" s="44"/>
    </row>
    <row r="52" spans="1:6" x14ac:dyDescent="0.25">
      <c r="A52" s="25" t="s">
        <v>160</v>
      </c>
      <c r="B52" s="30" t="s">
        <v>34</v>
      </c>
      <c r="C52" s="49">
        <v>0</v>
      </c>
      <c r="D52" s="27">
        <f>C52</f>
        <v>0</v>
      </c>
      <c r="E52" s="28">
        <f>C52-D52</f>
        <v>0</v>
      </c>
      <c r="F52" s="44"/>
    </row>
    <row r="53" spans="1:6" x14ac:dyDescent="0.25">
      <c r="A53" s="31" t="s">
        <v>0</v>
      </c>
      <c r="B53" s="32"/>
      <c r="C53" s="50">
        <f>SUM(C45:C52)</f>
        <v>168213</v>
      </c>
      <c r="D53" s="33">
        <f>SUM(D45:D52)</f>
        <v>168213</v>
      </c>
      <c r="E53" s="34">
        <f>SUM(E45:E52)</f>
        <v>0</v>
      </c>
    </row>
    <row r="54" spans="1:6" x14ac:dyDescent="0.25">
      <c r="A54" s="35" t="s">
        <v>83</v>
      </c>
      <c r="B54" s="30"/>
      <c r="C54" s="49"/>
      <c r="D54" s="27"/>
      <c r="E54" s="46"/>
      <c r="F54" s="44"/>
    </row>
    <row r="55" spans="1:6" x14ac:dyDescent="0.25">
      <c r="A55" s="25" t="s">
        <v>123</v>
      </c>
      <c r="B55" s="30" t="s">
        <v>48</v>
      </c>
      <c r="C55" s="49">
        <f>4000+12000</f>
        <v>16000</v>
      </c>
      <c r="D55" s="27">
        <f>C55</f>
        <v>16000</v>
      </c>
      <c r="E55" s="28">
        <f>C55-D55</f>
        <v>0</v>
      </c>
      <c r="F55" s="44"/>
    </row>
    <row r="56" spans="1:6" x14ac:dyDescent="0.25">
      <c r="A56" s="25" t="s">
        <v>124</v>
      </c>
      <c r="B56" s="30" t="s">
        <v>48</v>
      </c>
      <c r="C56" s="49">
        <v>19967</v>
      </c>
      <c r="D56" s="27">
        <f>C56</f>
        <v>19967</v>
      </c>
      <c r="E56" s="28">
        <f>C56-D56</f>
        <v>0</v>
      </c>
    </row>
    <row r="57" spans="1:6" x14ac:dyDescent="0.25">
      <c r="A57" s="25" t="s">
        <v>184</v>
      </c>
      <c r="B57" s="30" t="s">
        <v>185</v>
      </c>
      <c r="C57" s="49">
        <f>5000+4400+550+480+3000</f>
        <v>13430</v>
      </c>
      <c r="D57" s="27"/>
      <c r="E57" s="28"/>
    </row>
    <row r="58" spans="1:6" x14ac:dyDescent="0.25">
      <c r="A58" s="25" t="s">
        <v>188</v>
      </c>
      <c r="B58" s="30" t="s">
        <v>189</v>
      </c>
      <c r="C58" s="49">
        <f>41600*2</f>
        <v>83200</v>
      </c>
      <c r="D58" s="27">
        <f>C58</f>
        <v>83200</v>
      </c>
      <c r="E58" s="28"/>
    </row>
    <row r="59" spans="1:6" x14ac:dyDescent="0.25">
      <c r="A59" s="25" t="s">
        <v>115</v>
      </c>
      <c r="B59" s="30" t="s">
        <v>34</v>
      </c>
      <c r="C59" s="49">
        <v>5400</v>
      </c>
      <c r="D59" s="27">
        <v>5400</v>
      </c>
      <c r="E59" s="28">
        <f>C59-D59</f>
        <v>0</v>
      </c>
    </row>
    <row r="60" spans="1:6" x14ac:dyDescent="0.25">
      <c r="A60" s="25" t="s">
        <v>64</v>
      </c>
      <c r="B60" s="30" t="s">
        <v>34</v>
      </c>
      <c r="C60" s="49">
        <v>50000</v>
      </c>
      <c r="D60" s="27">
        <v>0</v>
      </c>
      <c r="E60" s="28">
        <v>0</v>
      </c>
    </row>
    <row r="61" spans="1:6" x14ac:dyDescent="0.25">
      <c r="A61" s="55" t="s">
        <v>0</v>
      </c>
      <c r="B61" s="53"/>
      <c r="C61" s="50">
        <f>SUM(C55:C60)</f>
        <v>187997</v>
      </c>
      <c r="D61" s="52">
        <f>SUM(D54:D60)</f>
        <v>124567</v>
      </c>
      <c r="E61" s="52">
        <f>SUM(E54:E60)</f>
        <v>0</v>
      </c>
    </row>
    <row r="62" spans="1:6" ht="12.6" thickBot="1" x14ac:dyDescent="0.3">
      <c r="A62" s="56" t="s">
        <v>39</v>
      </c>
      <c r="B62" s="57"/>
      <c r="C62" s="58">
        <f>C15+C39+C43+C53+C61</f>
        <v>3625005</v>
      </c>
      <c r="D62" s="59">
        <f>D15+D39+D43+D53+D61</f>
        <v>3561575</v>
      </c>
      <c r="E62" s="59">
        <f>E15+E39+E43+E53+E61</f>
        <v>0</v>
      </c>
    </row>
    <row r="63" spans="1:6" x14ac:dyDescent="0.25">
      <c r="E63" s="39"/>
    </row>
    <row r="65" spans="2:6" x14ac:dyDescent="0.25">
      <c r="B65" s="47"/>
      <c r="F65" s="48"/>
    </row>
    <row r="67" spans="2:6" x14ac:dyDescent="0.25">
      <c r="F67" s="48"/>
    </row>
    <row r="68" spans="2:6" x14ac:dyDescent="0.25">
      <c r="F68" s="48"/>
    </row>
    <row r="69" spans="2:6" x14ac:dyDescent="0.25">
      <c r="F69" s="48"/>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42404-C67E-472C-B967-E6244956C14A}">
  <dimension ref="A1:S86"/>
  <sheetViews>
    <sheetView zoomScaleNormal="100" workbookViewId="0">
      <selection activeCell="F75" sqref="F75"/>
    </sheetView>
  </sheetViews>
  <sheetFormatPr defaultColWidth="8.6640625" defaultRowHeight="13.8" x14ac:dyDescent="0.3"/>
  <cols>
    <col min="1" max="1" width="65.109375" style="14" bestFit="1" customWidth="1"/>
    <col min="2" max="7" width="11.44140625" style="14" bestFit="1" customWidth="1"/>
    <col min="8" max="10" width="10.77734375" style="14" bestFit="1" customWidth="1"/>
    <col min="11" max="11" width="11.44140625" style="14" bestFit="1" customWidth="1"/>
    <col min="12" max="15" width="10.77734375" style="14" bestFit="1" customWidth="1"/>
    <col min="16" max="16" width="11.44140625" style="14" bestFit="1" customWidth="1"/>
    <col min="17" max="17" width="12.33203125" style="14" bestFit="1" customWidth="1"/>
    <col min="18" max="18" width="8.6640625" style="14"/>
    <col min="19" max="19" width="11.44140625" style="14" bestFit="1" customWidth="1"/>
    <col min="20" max="16384" width="8.6640625" style="14"/>
  </cols>
  <sheetData>
    <row r="1" spans="1:19" ht="14.4" thickBot="1" x14ac:dyDescent="0.35">
      <c r="A1" s="325" t="s">
        <v>224</v>
      </c>
    </row>
    <row r="2" spans="1:19" ht="15" customHeight="1" thickBot="1" x14ac:dyDescent="0.35">
      <c r="A2" s="410">
        <v>2025</v>
      </c>
      <c r="B2" s="411"/>
      <c r="C2" s="411"/>
      <c r="D2" s="411"/>
      <c r="E2" s="411"/>
      <c r="F2" s="411"/>
      <c r="G2" s="411"/>
      <c r="H2" s="411"/>
      <c r="I2" s="411"/>
      <c r="J2" s="411"/>
      <c r="K2" s="411"/>
      <c r="L2" s="411"/>
      <c r="M2" s="411"/>
      <c r="N2" s="411"/>
      <c r="O2" s="411"/>
      <c r="P2" s="411"/>
      <c r="Q2" s="412"/>
    </row>
    <row r="3" spans="1:19" ht="15" customHeight="1" x14ac:dyDescent="0.3">
      <c r="A3" s="365" t="s">
        <v>40</v>
      </c>
      <c r="B3" s="339" t="s">
        <v>93</v>
      </c>
      <c r="C3" s="326" t="s">
        <v>141</v>
      </c>
      <c r="D3" s="326" t="s">
        <v>142</v>
      </c>
      <c r="E3" s="326" t="s">
        <v>129</v>
      </c>
      <c r="F3" s="326" t="s">
        <v>132</v>
      </c>
      <c r="G3" s="327" t="s">
        <v>133</v>
      </c>
      <c r="H3" s="328" t="s">
        <v>134</v>
      </c>
      <c r="I3" s="328" t="s">
        <v>135</v>
      </c>
      <c r="J3" s="328" t="s">
        <v>136</v>
      </c>
      <c r="K3" s="328" t="s">
        <v>137</v>
      </c>
      <c r="L3" s="328" t="s">
        <v>138</v>
      </c>
      <c r="M3" s="328" t="s">
        <v>139</v>
      </c>
      <c r="N3" s="328" t="s">
        <v>140</v>
      </c>
      <c r="O3" s="328" t="s">
        <v>141</v>
      </c>
      <c r="P3" s="329" t="s">
        <v>142</v>
      </c>
      <c r="Q3" s="330" t="s">
        <v>143</v>
      </c>
    </row>
    <row r="4" spans="1:19" x14ac:dyDescent="0.3">
      <c r="A4" s="333" t="s">
        <v>95</v>
      </c>
      <c r="B4" s="340">
        <v>15</v>
      </c>
      <c r="C4" s="331">
        <v>23</v>
      </c>
      <c r="D4" s="331">
        <v>26</v>
      </c>
      <c r="E4" s="331">
        <f>30-4</f>
        <v>26</v>
      </c>
      <c r="F4" s="331">
        <f t="shared" ref="F4:P4" si="0">30-4</f>
        <v>26</v>
      </c>
      <c r="G4" s="331">
        <f t="shared" si="0"/>
        <v>26</v>
      </c>
      <c r="H4" s="331">
        <f t="shared" si="0"/>
        <v>26</v>
      </c>
      <c r="I4" s="331">
        <f t="shared" si="0"/>
        <v>26</v>
      </c>
      <c r="J4" s="331">
        <f t="shared" si="0"/>
        <v>26</v>
      </c>
      <c r="K4" s="331">
        <f t="shared" si="0"/>
        <v>26</v>
      </c>
      <c r="L4" s="331">
        <f t="shared" si="0"/>
        <v>26</v>
      </c>
      <c r="M4" s="331">
        <f t="shared" si="0"/>
        <v>26</v>
      </c>
      <c r="N4" s="331">
        <f t="shared" si="0"/>
        <v>26</v>
      </c>
      <c r="O4" s="331">
        <f>28-4</f>
        <v>24</v>
      </c>
      <c r="P4" s="332">
        <f t="shared" si="0"/>
        <v>26</v>
      </c>
      <c r="Q4" s="333"/>
    </row>
    <row r="5" spans="1:19" x14ac:dyDescent="0.3">
      <c r="A5" s="366" t="s">
        <v>232</v>
      </c>
      <c r="B5" s="341">
        <v>125000</v>
      </c>
      <c r="C5" s="186">
        <v>150000</v>
      </c>
      <c r="D5" s="186">
        <v>175000</v>
      </c>
      <c r="E5" s="186">
        <v>200000</v>
      </c>
      <c r="F5" s="186">
        <v>220000</v>
      </c>
      <c r="G5" s="186">
        <v>250000</v>
      </c>
      <c r="H5" s="186">
        <v>300000</v>
      </c>
      <c r="I5" s="186">
        <v>325000</v>
      </c>
      <c r="J5" s="186">
        <v>400000</v>
      </c>
      <c r="K5" s="186">
        <v>500000</v>
      </c>
      <c r="L5" s="186">
        <v>600000</v>
      </c>
      <c r="M5" s="186">
        <v>700000</v>
      </c>
      <c r="N5" s="186">
        <v>800000</v>
      </c>
      <c r="O5" s="186">
        <v>600000</v>
      </c>
      <c r="P5" s="187">
        <v>550000</v>
      </c>
      <c r="Q5" s="188">
        <f>SUM(B5:P5)</f>
        <v>5895000</v>
      </c>
    </row>
    <row r="6" spans="1:19" x14ac:dyDescent="0.3">
      <c r="A6" s="367" t="s">
        <v>233</v>
      </c>
      <c r="B6" s="395">
        <f>'[2]JAN 25'!$G$32+'[2]JAN 25'!$H$32</f>
        <v>72314</v>
      </c>
      <c r="C6" s="396">
        <f>'[2]FEB 25'!$I$33</f>
        <v>37168</v>
      </c>
      <c r="D6" s="396">
        <f>'[2]March 25'!$G$32</f>
        <v>131137</v>
      </c>
      <c r="E6" s="397">
        <f>'[2]April 25 '!$G$33</f>
        <v>208715</v>
      </c>
      <c r="F6" s="397">
        <f>'[2]May 25'!$G$24</f>
        <v>229200</v>
      </c>
      <c r="G6" s="109">
        <f>'[2]June 25'!$G$25</f>
        <v>0</v>
      </c>
      <c r="H6" s="109">
        <f t="shared" ref="H6:M6" si="1">H5</f>
        <v>300000</v>
      </c>
      <c r="I6" s="109">
        <f t="shared" si="1"/>
        <v>325000</v>
      </c>
      <c r="J6" s="109">
        <f t="shared" si="1"/>
        <v>400000</v>
      </c>
      <c r="K6" s="109">
        <f t="shared" si="1"/>
        <v>500000</v>
      </c>
      <c r="L6" s="109">
        <f t="shared" si="1"/>
        <v>600000</v>
      </c>
      <c r="M6" s="109">
        <f t="shared" si="1"/>
        <v>700000</v>
      </c>
      <c r="N6" s="109">
        <f>25000*N4</f>
        <v>650000</v>
      </c>
      <c r="O6" s="109">
        <f>O5</f>
        <v>600000</v>
      </c>
      <c r="P6" s="117">
        <f>P5</f>
        <v>550000</v>
      </c>
      <c r="Q6" s="122">
        <f>SUM(E6:P6)</f>
        <v>5062915</v>
      </c>
    </row>
    <row r="7" spans="1:19" x14ac:dyDescent="0.3">
      <c r="A7" s="367" t="s">
        <v>234</v>
      </c>
      <c r="B7" s="342"/>
      <c r="C7" s="109">
        <f>'[2]FEB 25'!$H$33</f>
        <v>1260</v>
      </c>
      <c r="D7" s="109">
        <f>'[2]March 25'!$H$32</f>
        <v>10564</v>
      </c>
      <c r="E7" s="109">
        <f>'[2]April 25 '!$H$33</f>
        <v>23445</v>
      </c>
      <c r="F7" s="109">
        <f>'[2]May 25'!$H$24</f>
        <v>18470</v>
      </c>
      <c r="G7" s="109">
        <f>'[2]June 25'!$H$25</f>
        <v>0</v>
      </c>
      <c r="H7" s="109"/>
      <c r="I7" s="109"/>
      <c r="J7" s="109"/>
      <c r="K7" s="109"/>
      <c r="L7" s="109"/>
      <c r="M7" s="109"/>
      <c r="N7" s="109"/>
      <c r="O7" s="109"/>
      <c r="P7" s="117"/>
      <c r="Q7" s="122"/>
    </row>
    <row r="8" spans="1:19" x14ac:dyDescent="0.3">
      <c r="A8" s="367" t="s">
        <v>235</v>
      </c>
      <c r="B8" s="342">
        <f>'[2]JAN 25'!$I$32</f>
        <v>5476.4</v>
      </c>
      <c r="C8" s="109">
        <f>'[2]FEB 25'!$J$33</f>
        <v>5874</v>
      </c>
      <c r="D8" s="109">
        <f>'[2]March 25'!$I$32</f>
        <v>11563.25</v>
      </c>
      <c r="E8" s="109">
        <f>'[2]April 25 '!$I$33</f>
        <v>19575</v>
      </c>
      <c r="F8" s="109">
        <f>'[2]May 25'!$I$24</f>
        <v>13810</v>
      </c>
      <c r="G8" s="109">
        <f>'[2]June 25'!$I$25</f>
        <v>0</v>
      </c>
      <c r="H8" s="109">
        <f t="shared" ref="H8:P8" si="2">H6*5%</f>
        <v>15000</v>
      </c>
      <c r="I8" s="109">
        <f t="shared" si="2"/>
        <v>16250</v>
      </c>
      <c r="J8" s="109">
        <f t="shared" si="2"/>
        <v>20000</v>
      </c>
      <c r="K8" s="109">
        <f t="shared" si="2"/>
        <v>25000</v>
      </c>
      <c r="L8" s="109">
        <f t="shared" si="2"/>
        <v>30000</v>
      </c>
      <c r="M8" s="109">
        <f t="shared" si="2"/>
        <v>35000</v>
      </c>
      <c r="N8" s="109">
        <f t="shared" si="2"/>
        <v>32500</v>
      </c>
      <c r="O8" s="109">
        <f t="shared" si="2"/>
        <v>30000</v>
      </c>
      <c r="P8" s="117">
        <f t="shared" si="2"/>
        <v>27500</v>
      </c>
      <c r="Q8" s="122">
        <f>SUM(E8:P8)</f>
        <v>264635</v>
      </c>
    </row>
    <row r="9" spans="1:19" x14ac:dyDescent="0.3">
      <c r="A9" s="367"/>
      <c r="B9" s="342"/>
      <c r="C9" s="109"/>
      <c r="D9" s="109"/>
      <c r="E9" s="109"/>
      <c r="F9" s="109"/>
      <c r="G9" s="109"/>
      <c r="H9" s="109"/>
      <c r="I9" s="109"/>
      <c r="J9" s="109"/>
      <c r="K9" s="109"/>
      <c r="L9" s="109"/>
      <c r="M9" s="109"/>
      <c r="N9" s="109"/>
      <c r="O9" s="109"/>
      <c r="P9" s="117"/>
      <c r="Q9" s="122"/>
    </row>
    <row r="10" spans="1:19" x14ac:dyDescent="0.3">
      <c r="A10" s="368" t="s">
        <v>204</v>
      </c>
      <c r="B10" s="343">
        <f>B6-B8</f>
        <v>66837.600000000006</v>
      </c>
      <c r="C10" s="111">
        <f>C6+C7-C8-C9</f>
        <v>32554</v>
      </c>
      <c r="D10" s="111">
        <f>D6+D7-D8</f>
        <v>130137.75</v>
      </c>
      <c r="E10" s="111">
        <f>E6+E7-E8-E9</f>
        <v>212585</v>
      </c>
      <c r="F10" s="111">
        <f>F6+F7-F8</f>
        <v>233860</v>
      </c>
      <c r="G10" s="111">
        <f t="shared" ref="G10:P10" si="3">G6-G8</f>
        <v>0</v>
      </c>
      <c r="H10" s="111">
        <f t="shared" si="3"/>
        <v>285000</v>
      </c>
      <c r="I10" s="111">
        <f t="shared" si="3"/>
        <v>308750</v>
      </c>
      <c r="J10" s="111">
        <f t="shared" si="3"/>
        <v>380000</v>
      </c>
      <c r="K10" s="111">
        <f t="shared" si="3"/>
        <v>475000</v>
      </c>
      <c r="L10" s="111">
        <f t="shared" si="3"/>
        <v>570000</v>
      </c>
      <c r="M10" s="111">
        <f t="shared" si="3"/>
        <v>665000</v>
      </c>
      <c r="N10" s="111">
        <f t="shared" si="3"/>
        <v>617500</v>
      </c>
      <c r="O10" s="111">
        <f t="shared" si="3"/>
        <v>570000</v>
      </c>
      <c r="P10" s="118">
        <f t="shared" si="3"/>
        <v>522500</v>
      </c>
      <c r="Q10" s="123"/>
      <c r="S10" s="15"/>
    </row>
    <row r="11" spans="1:19" x14ac:dyDescent="0.3">
      <c r="A11" s="367" t="s">
        <v>201</v>
      </c>
      <c r="B11" s="342">
        <f>'[2]JAN 25'!$K$32</f>
        <v>11024.567999999999</v>
      </c>
      <c r="C11" s="109">
        <f>C10*18%</f>
        <v>5859.7199999999993</v>
      </c>
      <c r="D11" s="109">
        <f>'[2]March 25'!$K$32</f>
        <v>23424.795000000002</v>
      </c>
      <c r="E11" s="109">
        <f>'[2]March 25'!$K$32</f>
        <v>23424.795000000002</v>
      </c>
      <c r="F11" s="109">
        <f>'[2]May 25'!$K$24</f>
        <v>42094.799999999996</v>
      </c>
      <c r="G11" s="109">
        <f t="shared" ref="G11:P11" si="4">G10*18%</f>
        <v>0</v>
      </c>
      <c r="H11" s="109">
        <f t="shared" si="4"/>
        <v>51300</v>
      </c>
      <c r="I11" s="109">
        <f t="shared" si="4"/>
        <v>55575</v>
      </c>
      <c r="J11" s="109">
        <f t="shared" si="4"/>
        <v>68400</v>
      </c>
      <c r="K11" s="109">
        <f t="shared" si="4"/>
        <v>85500</v>
      </c>
      <c r="L11" s="109">
        <f t="shared" si="4"/>
        <v>102600</v>
      </c>
      <c r="M11" s="109">
        <f t="shared" si="4"/>
        <v>119700</v>
      </c>
      <c r="N11" s="109">
        <f t="shared" si="4"/>
        <v>111150</v>
      </c>
      <c r="O11" s="109">
        <f t="shared" si="4"/>
        <v>102600</v>
      </c>
      <c r="P11" s="117">
        <f t="shared" si="4"/>
        <v>94050</v>
      </c>
      <c r="Q11" s="122">
        <f>SUM(E11:P11)</f>
        <v>856394.59499999997</v>
      </c>
    </row>
    <row r="12" spans="1:19" x14ac:dyDescent="0.3">
      <c r="A12" s="369" t="s">
        <v>202</v>
      </c>
      <c r="B12" s="344">
        <f>B10+B11</f>
        <v>77862.168000000005</v>
      </c>
      <c r="C12" s="110">
        <f>C10+C11</f>
        <v>38413.72</v>
      </c>
      <c r="D12" s="110">
        <f>D10+D11</f>
        <v>153562.54500000001</v>
      </c>
      <c r="E12" s="110">
        <f>E10+E11</f>
        <v>236009.79500000001</v>
      </c>
      <c r="F12" s="110">
        <f t="shared" ref="F12:P12" si="5">F10+F11</f>
        <v>275954.8</v>
      </c>
      <c r="G12" s="110">
        <f t="shared" si="5"/>
        <v>0</v>
      </c>
      <c r="H12" s="110">
        <f t="shared" si="5"/>
        <v>336300</v>
      </c>
      <c r="I12" s="110">
        <f t="shared" si="5"/>
        <v>364325</v>
      </c>
      <c r="J12" s="110">
        <f t="shared" si="5"/>
        <v>448400</v>
      </c>
      <c r="K12" s="110">
        <f t="shared" si="5"/>
        <v>560500</v>
      </c>
      <c r="L12" s="110">
        <f t="shared" si="5"/>
        <v>672600</v>
      </c>
      <c r="M12" s="110">
        <f t="shared" si="5"/>
        <v>784700</v>
      </c>
      <c r="N12" s="110">
        <f t="shared" si="5"/>
        <v>728650</v>
      </c>
      <c r="O12" s="110">
        <f t="shared" si="5"/>
        <v>672600</v>
      </c>
      <c r="P12" s="119">
        <f t="shared" si="5"/>
        <v>616550</v>
      </c>
      <c r="Q12" s="124">
        <f>SUM(E12:P12)</f>
        <v>5696589.5949999997</v>
      </c>
      <c r="S12" s="15"/>
    </row>
    <row r="13" spans="1:19" x14ac:dyDescent="0.3">
      <c r="A13" s="370" t="s">
        <v>3</v>
      </c>
      <c r="B13" s="345"/>
      <c r="C13" s="66"/>
      <c r="D13" s="66"/>
      <c r="E13" s="66"/>
      <c r="F13" s="66"/>
      <c r="G13" s="66"/>
      <c r="H13" s="66"/>
      <c r="I13" s="66"/>
      <c r="J13" s="66"/>
      <c r="K13" s="66"/>
      <c r="L13" s="66"/>
      <c r="M13" s="66"/>
      <c r="N13" s="66"/>
      <c r="O13" s="66"/>
      <c r="P13" s="67"/>
      <c r="Q13" s="68"/>
    </row>
    <row r="14" spans="1:19" x14ac:dyDescent="0.3">
      <c r="A14" s="370" t="s">
        <v>96</v>
      </c>
      <c r="B14" s="345"/>
      <c r="C14" s="66"/>
      <c r="D14" s="66"/>
      <c r="E14" s="66"/>
      <c r="F14" s="66"/>
      <c r="G14" s="66"/>
      <c r="H14" s="66"/>
      <c r="I14" s="66"/>
      <c r="J14" s="66"/>
      <c r="K14" s="66"/>
      <c r="L14" s="66"/>
      <c r="M14" s="66"/>
      <c r="N14" s="66"/>
      <c r="O14" s="66"/>
      <c r="P14" s="67"/>
      <c r="Q14" s="68"/>
    </row>
    <row r="15" spans="1:19" x14ac:dyDescent="0.3">
      <c r="A15" s="371" t="s">
        <v>118</v>
      </c>
      <c r="B15" s="346">
        <v>0</v>
      </c>
      <c r="C15" s="69">
        <v>0</v>
      </c>
      <c r="D15" s="69">
        <v>0</v>
      </c>
      <c r="E15" s="69">
        <v>0</v>
      </c>
      <c r="F15" s="69">
        <v>0</v>
      </c>
      <c r="G15" s="69">
        <v>0</v>
      </c>
      <c r="H15" s="69">
        <v>0</v>
      </c>
      <c r="I15" s="69">
        <v>0</v>
      </c>
      <c r="J15" s="69">
        <v>0</v>
      </c>
      <c r="K15" s="69">
        <v>0</v>
      </c>
      <c r="L15" s="69">
        <f>49350-L16</f>
        <v>44400</v>
      </c>
      <c r="M15" s="69">
        <f>49350-M16</f>
        <v>44400</v>
      </c>
      <c r="N15" s="69">
        <f>49350-N16</f>
        <v>44400</v>
      </c>
      <c r="O15" s="69">
        <f>49350-O16</f>
        <v>44400</v>
      </c>
      <c r="P15" s="69">
        <f>49350-P16</f>
        <v>44400</v>
      </c>
      <c r="Q15" s="70">
        <f>SUM(B15:P15)</f>
        <v>222000</v>
      </c>
    </row>
    <row r="16" spans="1:19" x14ac:dyDescent="0.3">
      <c r="A16" s="371" t="s">
        <v>203</v>
      </c>
      <c r="B16" s="347">
        <v>4950</v>
      </c>
      <c r="C16" s="71">
        <v>4950</v>
      </c>
      <c r="D16" s="71">
        <v>4950</v>
      </c>
      <c r="E16" s="71">
        <v>4950</v>
      </c>
      <c r="F16" s="71">
        <v>4950</v>
      </c>
      <c r="G16" s="71">
        <v>4950</v>
      </c>
      <c r="H16" s="71">
        <v>4950</v>
      </c>
      <c r="I16" s="71">
        <v>4950</v>
      </c>
      <c r="J16" s="71">
        <v>4950</v>
      </c>
      <c r="K16" s="71">
        <v>4950</v>
      </c>
      <c r="L16" s="71">
        <v>4950</v>
      </c>
      <c r="M16" s="71">
        <v>4950</v>
      </c>
      <c r="N16" s="71">
        <v>4950</v>
      </c>
      <c r="O16" s="71">
        <v>4950</v>
      </c>
      <c r="P16" s="72">
        <v>4950</v>
      </c>
      <c r="Q16" s="73">
        <f t="shared" ref="Q16:Q25" si="6">SUM(E16:P16)</f>
        <v>59400</v>
      </c>
    </row>
    <row r="17" spans="1:19" x14ac:dyDescent="0.3">
      <c r="A17" s="371" t="s">
        <v>205</v>
      </c>
      <c r="B17" s="347">
        <v>250</v>
      </c>
      <c r="C17" s="71">
        <v>250</v>
      </c>
      <c r="D17" s="71">
        <v>750</v>
      </c>
      <c r="E17" s="71">
        <v>750</v>
      </c>
      <c r="F17" s="71">
        <v>750</v>
      </c>
      <c r="G17" s="71">
        <v>750</v>
      </c>
      <c r="H17" s="71">
        <v>750</v>
      </c>
      <c r="I17" s="71">
        <v>750</v>
      </c>
      <c r="J17" s="71">
        <v>750</v>
      </c>
      <c r="K17" s="71">
        <v>750</v>
      </c>
      <c r="L17" s="71">
        <v>750</v>
      </c>
      <c r="M17" s="71">
        <v>750</v>
      </c>
      <c r="N17" s="71">
        <v>750</v>
      </c>
      <c r="O17" s="71">
        <v>750</v>
      </c>
      <c r="P17" s="72">
        <v>750</v>
      </c>
      <c r="Q17" s="73">
        <f>SUM(G17:P17)</f>
        <v>7500</v>
      </c>
      <c r="S17" s="15"/>
    </row>
    <row r="18" spans="1:19" x14ac:dyDescent="0.3">
      <c r="A18" s="372" t="s">
        <v>111</v>
      </c>
      <c r="B18" s="348">
        <v>4250</v>
      </c>
      <c r="C18" s="74">
        <v>24000</v>
      </c>
      <c r="D18" s="74">
        <f>27000+50000+15000</f>
        <v>92000</v>
      </c>
      <c r="E18" s="74">
        <f t="shared" ref="E18:P18" si="7">27000+50000+15000</f>
        <v>92000</v>
      </c>
      <c r="F18" s="74">
        <f>23500+50000</f>
        <v>73500</v>
      </c>
      <c r="G18" s="74">
        <f>27000+50000+7500</f>
        <v>84500</v>
      </c>
      <c r="H18" s="74">
        <f t="shared" si="7"/>
        <v>92000</v>
      </c>
      <c r="I18" s="74">
        <f t="shared" si="7"/>
        <v>92000</v>
      </c>
      <c r="J18" s="74">
        <f t="shared" si="7"/>
        <v>92000</v>
      </c>
      <c r="K18" s="74">
        <f t="shared" si="7"/>
        <v>92000</v>
      </c>
      <c r="L18" s="74">
        <f t="shared" si="7"/>
        <v>92000</v>
      </c>
      <c r="M18" s="74">
        <f t="shared" si="7"/>
        <v>92000</v>
      </c>
      <c r="N18" s="74">
        <f t="shared" si="7"/>
        <v>92000</v>
      </c>
      <c r="O18" s="74">
        <f t="shared" si="7"/>
        <v>92000</v>
      </c>
      <c r="P18" s="74">
        <f t="shared" si="7"/>
        <v>92000</v>
      </c>
      <c r="Q18" s="75">
        <f t="shared" si="6"/>
        <v>1078000</v>
      </c>
    </row>
    <row r="19" spans="1:19" x14ac:dyDescent="0.3">
      <c r="A19" s="372" t="s">
        <v>147</v>
      </c>
      <c r="B19" s="348">
        <v>57286</v>
      </c>
      <c r="C19" s="74">
        <v>56050</v>
      </c>
      <c r="D19" s="74">
        <v>49232</v>
      </c>
      <c r="E19" s="74">
        <v>39580</v>
      </c>
      <c r="F19" s="74">
        <v>30642</v>
      </c>
      <c r="G19" s="74">
        <v>20650</v>
      </c>
      <c r="H19" s="74">
        <f t="shared" ref="H19:P19" si="8">17500*18%+(17500)</f>
        <v>20650</v>
      </c>
      <c r="I19" s="74">
        <f t="shared" si="8"/>
        <v>20650</v>
      </c>
      <c r="J19" s="74">
        <f t="shared" si="8"/>
        <v>20650</v>
      </c>
      <c r="K19" s="74">
        <f t="shared" si="8"/>
        <v>20650</v>
      </c>
      <c r="L19" s="74">
        <f t="shared" si="8"/>
        <v>20650</v>
      </c>
      <c r="M19" s="74">
        <f t="shared" si="8"/>
        <v>20650</v>
      </c>
      <c r="N19" s="74">
        <f t="shared" si="8"/>
        <v>20650</v>
      </c>
      <c r="O19" s="74">
        <f t="shared" si="8"/>
        <v>20650</v>
      </c>
      <c r="P19" s="74">
        <f t="shared" si="8"/>
        <v>20650</v>
      </c>
      <c r="Q19" s="75">
        <f t="shared" si="6"/>
        <v>276722</v>
      </c>
    </row>
    <row r="20" spans="1:19" x14ac:dyDescent="0.3">
      <c r="A20" s="372" t="s">
        <v>97</v>
      </c>
      <c r="B20" s="345">
        <v>4729</v>
      </c>
      <c r="C20" s="66">
        <v>6444</v>
      </c>
      <c r="D20" s="66">
        <v>9709</v>
      </c>
      <c r="E20" s="66">
        <v>10971</v>
      </c>
      <c r="F20" s="66">
        <v>8000</v>
      </c>
      <c r="G20" s="66">
        <v>8000</v>
      </c>
      <c r="H20" s="66">
        <v>8000</v>
      </c>
      <c r="I20" s="66">
        <v>8000</v>
      </c>
      <c r="J20" s="66">
        <v>8000</v>
      </c>
      <c r="K20" s="66">
        <v>8000</v>
      </c>
      <c r="L20" s="66">
        <v>8000</v>
      </c>
      <c r="M20" s="66">
        <v>8000</v>
      </c>
      <c r="N20" s="66">
        <v>8000</v>
      </c>
      <c r="O20" s="66">
        <v>8000</v>
      </c>
      <c r="P20" s="67">
        <v>8000</v>
      </c>
      <c r="Q20" s="68">
        <f t="shared" si="6"/>
        <v>98971</v>
      </c>
    </row>
    <row r="21" spans="1:19" x14ac:dyDescent="0.3">
      <c r="A21" s="372" t="s">
        <v>76</v>
      </c>
      <c r="B21" s="345">
        <v>3500</v>
      </c>
      <c r="C21" s="66">
        <v>3500</v>
      </c>
      <c r="D21" s="66">
        <v>3500</v>
      </c>
      <c r="E21" s="66">
        <v>3500</v>
      </c>
      <c r="F21" s="66">
        <v>3500</v>
      </c>
      <c r="G21" s="66">
        <v>3500</v>
      </c>
      <c r="H21" s="66">
        <v>3500</v>
      </c>
      <c r="I21" s="66">
        <v>3500</v>
      </c>
      <c r="J21" s="66">
        <v>3500</v>
      </c>
      <c r="K21" s="66">
        <v>3500</v>
      </c>
      <c r="L21" s="66">
        <v>3500</v>
      </c>
      <c r="M21" s="66">
        <v>3500</v>
      </c>
      <c r="N21" s="66">
        <v>3500</v>
      </c>
      <c r="O21" s="66">
        <v>3500</v>
      </c>
      <c r="P21" s="67">
        <v>3500</v>
      </c>
      <c r="Q21" s="68">
        <f t="shared" si="6"/>
        <v>42000</v>
      </c>
    </row>
    <row r="22" spans="1:19" x14ac:dyDescent="0.3">
      <c r="A22" s="373" t="s">
        <v>98</v>
      </c>
      <c r="B22" s="345">
        <v>0</v>
      </c>
      <c r="C22" s="66">
        <v>0</v>
      </c>
      <c r="D22" s="66">
        <v>0</v>
      </c>
      <c r="E22" s="66">
        <v>0</v>
      </c>
      <c r="F22" s="66">
        <v>0</v>
      </c>
      <c r="G22" s="66">
        <v>0</v>
      </c>
      <c r="H22" s="66">
        <v>0</v>
      </c>
      <c r="I22" s="66">
        <v>0</v>
      </c>
      <c r="J22" s="66">
        <v>0</v>
      </c>
      <c r="K22" s="66">
        <v>0</v>
      </c>
      <c r="L22" s="66">
        <v>0</v>
      </c>
      <c r="M22" s="66">
        <v>0</v>
      </c>
      <c r="N22" s="66">
        <v>0</v>
      </c>
      <c r="O22" s="66">
        <v>0</v>
      </c>
      <c r="P22" s="67">
        <v>0</v>
      </c>
      <c r="Q22" s="68">
        <f t="shared" si="6"/>
        <v>0</v>
      </c>
    </row>
    <row r="23" spans="1:19" x14ac:dyDescent="0.3">
      <c r="A23" s="373" t="s">
        <v>109</v>
      </c>
      <c r="B23" s="345">
        <v>16000</v>
      </c>
      <c r="C23" s="66">
        <v>16000</v>
      </c>
      <c r="D23" s="66">
        <v>16000</v>
      </c>
      <c r="E23" s="66">
        <v>16000</v>
      </c>
      <c r="F23" s="66">
        <v>16000</v>
      </c>
      <c r="G23" s="66">
        <v>16000</v>
      </c>
      <c r="H23" s="66">
        <v>16000</v>
      </c>
      <c r="I23" s="66">
        <v>16000</v>
      </c>
      <c r="J23" s="66">
        <v>16000</v>
      </c>
      <c r="K23" s="66">
        <v>16000</v>
      </c>
      <c r="L23" s="66">
        <v>16000</v>
      </c>
      <c r="M23" s="66">
        <v>2000</v>
      </c>
      <c r="N23" s="66">
        <v>2000</v>
      </c>
      <c r="O23" s="66">
        <v>2000</v>
      </c>
      <c r="P23" s="67">
        <v>2000</v>
      </c>
      <c r="Q23" s="68">
        <f t="shared" si="6"/>
        <v>136000</v>
      </c>
    </row>
    <row r="24" spans="1:19" x14ac:dyDescent="0.3">
      <c r="A24" s="373" t="s">
        <v>110</v>
      </c>
      <c r="B24" s="345">
        <v>850</v>
      </c>
      <c r="C24" s="66">
        <v>850</v>
      </c>
      <c r="D24" s="66">
        <v>850</v>
      </c>
      <c r="E24" s="66">
        <v>827</v>
      </c>
      <c r="F24" s="66">
        <v>850</v>
      </c>
      <c r="G24" s="66">
        <v>850</v>
      </c>
      <c r="H24" s="66">
        <v>850</v>
      </c>
      <c r="I24" s="66">
        <v>850</v>
      </c>
      <c r="J24" s="66">
        <v>850</v>
      </c>
      <c r="K24" s="66">
        <v>850</v>
      </c>
      <c r="L24" s="66">
        <v>850</v>
      </c>
      <c r="M24" s="66">
        <v>850</v>
      </c>
      <c r="N24" s="66">
        <v>850</v>
      </c>
      <c r="O24" s="66">
        <v>850</v>
      </c>
      <c r="P24" s="67">
        <v>850</v>
      </c>
      <c r="Q24" s="68">
        <f t="shared" si="6"/>
        <v>10177</v>
      </c>
    </row>
    <row r="25" spans="1:19" x14ac:dyDescent="0.3">
      <c r="A25" s="374" t="s">
        <v>0</v>
      </c>
      <c r="B25" s="349">
        <f t="shared" ref="B25:P25" si="9">SUM(B15:B24)</f>
        <v>91815</v>
      </c>
      <c r="C25" s="76">
        <f t="shared" si="9"/>
        <v>112044</v>
      </c>
      <c r="D25" s="76">
        <f t="shared" si="9"/>
        <v>176991</v>
      </c>
      <c r="E25" s="76">
        <f t="shared" si="9"/>
        <v>168578</v>
      </c>
      <c r="F25" s="76">
        <f t="shared" si="9"/>
        <v>138192</v>
      </c>
      <c r="G25" s="76">
        <f t="shared" si="9"/>
        <v>139200</v>
      </c>
      <c r="H25" s="76">
        <f t="shared" si="9"/>
        <v>146700</v>
      </c>
      <c r="I25" s="76">
        <f t="shared" si="9"/>
        <v>146700</v>
      </c>
      <c r="J25" s="76">
        <f t="shared" si="9"/>
        <v>146700</v>
      </c>
      <c r="K25" s="76">
        <f t="shared" si="9"/>
        <v>146700</v>
      </c>
      <c r="L25" s="76">
        <f t="shared" si="9"/>
        <v>191100</v>
      </c>
      <c r="M25" s="76">
        <f t="shared" si="9"/>
        <v>177100</v>
      </c>
      <c r="N25" s="76">
        <f t="shared" si="9"/>
        <v>177100</v>
      </c>
      <c r="O25" s="76">
        <f t="shared" si="9"/>
        <v>177100</v>
      </c>
      <c r="P25" s="77">
        <f t="shared" si="9"/>
        <v>177100</v>
      </c>
      <c r="Q25" s="78">
        <f t="shared" si="6"/>
        <v>1932270</v>
      </c>
    </row>
    <row r="26" spans="1:19" x14ac:dyDescent="0.3">
      <c r="A26" s="374" t="s">
        <v>120</v>
      </c>
      <c r="B26" s="350">
        <f>B25/B10</f>
        <v>1.3737028259542532</v>
      </c>
      <c r="C26" s="101">
        <f>C25/C10</f>
        <v>3.4417890274620628</v>
      </c>
      <c r="D26" s="101">
        <f>D25/D10</f>
        <v>1.3600281240454826</v>
      </c>
      <c r="E26" s="101">
        <f t="shared" ref="E26:Q26" si="10">E25/E12</f>
        <v>0.71428391351299636</v>
      </c>
      <c r="F26" s="101">
        <f t="shared" si="10"/>
        <v>0.50077766358838482</v>
      </c>
      <c r="G26" s="101" t="e">
        <f t="shared" si="10"/>
        <v>#DIV/0!</v>
      </c>
      <c r="H26" s="101">
        <f t="shared" si="10"/>
        <v>0.43621766280107049</v>
      </c>
      <c r="I26" s="101">
        <f t="shared" si="10"/>
        <v>0.40266245797021888</v>
      </c>
      <c r="J26" s="101">
        <f t="shared" si="10"/>
        <v>0.32716324710080286</v>
      </c>
      <c r="K26" s="101">
        <f t="shared" si="10"/>
        <v>0.26173059768064227</v>
      </c>
      <c r="L26" s="101">
        <f t="shared" si="10"/>
        <v>0.28412132024977699</v>
      </c>
      <c r="M26" s="101">
        <f t="shared" si="10"/>
        <v>0.22569134701159679</v>
      </c>
      <c r="N26" s="101">
        <f t="shared" si="10"/>
        <v>0.2430522198586427</v>
      </c>
      <c r="O26" s="101">
        <f t="shared" si="10"/>
        <v>0.2633065715135296</v>
      </c>
      <c r="P26" s="102">
        <f t="shared" si="10"/>
        <v>0.28724353256021412</v>
      </c>
      <c r="Q26" s="103">
        <f t="shared" si="10"/>
        <v>0.33919768447001841</v>
      </c>
    </row>
    <row r="27" spans="1:19" x14ac:dyDescent="0.3">
      <c r="A27" s="375" t="s">
        <v>41</v>
      </c>
      <c r="B27" s="345"/>
      <c r="C27" s="66"/>
      <c r="D27" s="66"/>
      <c r="E27" s="66"/>
      <c r="F27" s="66"/>
      <c r="G27" s="66"/>
      <c r="H27" s="66"/>
      <c r="I27" s="66"/>
      <c r="J27" s="66"/>
      <c r="K27" s="66"/>
      <c r="L27" s="66"/>
      <c r="M27" s="66"/>
      <c r="N27" s="66"/>
      <c r="O27" s="66"/>
      <c r="P27" s="67"/>
      <c r="Q27" s="68"/>
    </row>
    <row r="28" spans="1:19" x14ac:dyDescent="0.3">
      <c r="A28" s="376" t="s">
        <v>119</v>
      </c>
      <c r="B28" s="345">
        <v>600</v>
      </c>
      <c r="C28" s="345">
        <v>600</v>
      </c>
      <c r="D28" s="345">
        <v>600</v>
      </c>
      <c r="E28" s="345">
        <v>600</v>
      </c>
      <c r="F28" s="345">
        <v>600</v>
      </c>
      <c r="G28" s="345">
        <v>600</v>
      </c>
      <c r="H28" s="345">
        <v>600</v>
      </c>
      <c r="I28" s="345">
        <v>600</v>
      </c>
      <c r="J28" s="345">
        <v>600</v>
      </c>
      <c r="K28" s="345">
        <v>600</v>
      </c>
      <c r="L28" s="345">
        <v>600</v>
      </c>
      <c r="M28" s="345">
        <v>600</v>
      </c>
      <c r="N28" s="345">
        <v>600</v>
      </c>
      <c r="O28" s="345">
        <v>600</v>
      </c>
      <c r="P28" s="345">
        <v>600</v>
      </c>
      <c r="Q28" s="68">
        <f t="shared" ref="Q28:Q35" si="11">SUM(E28:P28)</f>
        <v>7200</v>
      </c>
    </row>
    <row r="29" spans="1:19" x14ac:dyDescent="0.3">
      <c r="A29" s="376" t="s">
        <v>99</v>
      </c>
      <c r="B29" s="345">
        <v>800</v>
      </c>
      <c r="C29" s="66">
        <v>800</v>
      </c>
      <c r="D29" s="66">
        <v>800</v>
      </c>
      <c r="E29" s="66">
        <v>800</v>
      </c>
      <c r="F29" s="66">
        <v>800</v>
      </c>
      <c r="G29" s="66">
        <v>800</v>
      </c>
      <c r="H29" s="66">
        <v>800</v>
      </c>
      <c r="I29" s="66">
        <v>800</v>
      </c>
      <c r="J29" s="66">
        <v>800</v>
      </c>
      <c r="K29" s="66">
        <v>800</v>
      </c>
      <c r="L29" s="66">
        <v>800</v>
      </c>
      <c r="M29" s="66">
        <v>800</v>
      </c>
      <c r="N29" s="66">
        <v>800</v>
      </c>
      <c r="O29" s="66">
        <v>800</v>
      </c>
      <c r="P29" s="67">
        <v>800</v>
      </c>
      <c r="Q29" s="68">
        <f t="shared" si="11"/>
        <v>9600</v>
      </c>
    </row>
    <row r="30" spans="1:19" x14ac:dyDescent="0.3">
      <c r="A30" s="376" t="s">
        <v>398</v>
      </c>
      <c r="B30" s="345">
        <v>0</v>
      </c>
      <c r="C30" s="345">
        <v>0</v>
      </c>
      <c r="D30" s="345">
        <v>0</v>
      </c>
      <c r="E30" s="345">
        <v>0</v>
      </c>
      <c r="F30" s="345">
        <f>2750+1650</f>
        <v>4400</v>
      </c>
      <c r="G30" s="345">
        <v>3500</v>
      </c>
      <c r="H30" s="345"/>
      <c r="I30" s="345"/>
      <c r="J30" s="345"/>
      <c r="K30" s="345"/>
      <c r="L30" s="345"/>
      <c r="M30" s="345"/>
      <c r="N30" s="345"/>
      <c r="O30" s="345"/>
      <c r="P30" s="393"/>
      <c r="Q30" s="68"/>
    </row>
    <row r="31" spans="1:19" x14ac:dyDescent="0.3">
      <c r="A31" s="376" t="s">
        <v>35</v>
      </c>
      <c r="B31" s="345">
        <v>2000</v>
      </c>
      <c r="C31" s="345">
        <v>2000</v>
      </c>
      <c r="D31" s="345">
        <v>2000</v>
      </c>
      <c r="E31" s="345">
        <v>2000</v>
      </c>
      <c r="F31" s="345">
        <v>2000</v>
      </c>
      <c r="G31" s="345">
        <v>2000</v>
      </c>
      <c r="H31" s="345">
        <v>2000</v>
      </c>
      <c r="I31" s="345">
        <v>2000</v>
      </c>
      <c r="J31" s="345">
        <v>2000</v>
      </c>
      <c r="K31" s="345">
        <v>2000</v>
      </c>
      <c r="L31" s="345">
        <v>2000</v>
      </c>
      <c r="M31" s="345">
        <v>2000</v>
      </c>
      <c r="N31" s="345">
        <v>2000</v>
      </c>
      <c r="O31" s="345">
        <v>2000</v>
      </c>
      <c r="P31" s="345">
        <v>2000</v>
      </c>
      <c r="Q31" s="68">
        <f t="shared" si="11"/>
        <v>24000</v>
      </c>
    </row>
    <row r="32" spans="1:19" x14ac:dyDescent="0.3">
      <c r="A32" s="376" t="s">
        <v>42</v>
      </c>
      <c r="B32" s="345">
        <v>1000</v>
      </c>
      <c r="C32" s="66">
        <v>1000</v>
      </c>
      <c r="D32" s="66">
        <v>1000</v>
      </c>
      <c r="E32" s="66">
        <v>1000</v>
      </c>
      <c r="F32" s="66">
        <v>1000</v>
      </c>
      <c r="G32" s="66">
        <v>1000</v>
      </c>
      <c r="H32" s="66">
        <v>1000</v>
      </c>
      <c r="I32" s="66">
        <v>1000</v>
      </c>
      <c r="J32" s="66">
        <v>1000</v>
      </c>
      <c r="K32" s="66">
        <v>1000</v>
      </c>
      <c r="L32" s="66">
        <v>1000</v>
      </c>
      <c r="M32" s="66">
        <v>1000</v>
      </c>
      <c r="N32" s="66">
        <v>1000</v>
      </c>
      <c r="O32" s="66">
        <v>1000</v>
      </c>
      <c r="P32" s="67">
        <v>1000</v>
      </c>
      <c r="Q32" s="68">
        <f t="shared" si="11"/>
        <v>12000</v>
      </c>
    </row>
    <row r="33" spans="1:17" x14ac:dyDescent="0.3">
      <c r="A33" s="376" t="s">
        <v>207</v>
      </c>
      <c r="B33" s="345">
        <v>200</v>
      </c>
      <c r="C33" s="66">
        <v>200</v>
      </c>
      <c r="D33" s="66">
        <v>200</v>
      </c>
      <c r="E33" s="66">
        <v>200</v>
      </c>
      <c r="F33" s="66">
        <v>200</v>
      </c>
      <c r="G33" s="66">
        <v>200</v>
      </c>
      <c r="H33" s="66">
        <v>200</v>
      </c>
      <c r="I33" s="66">
        <v>200</v>
      </c>
      <c r="J33" s="66">
        <v>200</v>
      </c>
      <c r="K33" s="66">
        <v>500</v>
      </c>
      <c r="L33" s="66">
        <v>500</v>
      </c>
      <c r="M33" s="66">
        <v>500</v>
      </c>
      <c r="N33" s="66">
        <v>500</v>
      </c>
      <c r="O33" s="66">
        <v>500</v>
      </c>
      <c r="P33" s="67">
        <v>500</v>
      </c>
      <c r="Q33" s="68">
        <f t="shared" si="11"/>
        <v>4200</v>
      </c>
    </row>
    <row r="34" spans="1:17" x14ac:dyDescent="0.3">
      <c r="A34" s="376" t="s">
        <v>28</v>
      </c>
      <c r="B34" s="345">
        <v>500</v>
      </c>
      <c r="C34" s="345">
        <v>500</v>
      </c>
      <c r="D34" s="345">
        <v>500</v>
      </c>
      <c r="E34" s="345">
        <v>500</v>
      </c>
      <c r="F34" s="345">
        <v>500</v>
      </c>
      <c r="G34" s="345">
        <v>500</v>
      </c>
      <c r="H34" s="345">
        <v>500</v>
      </c>
      <c r="I34" s="345">
        <v>500</v>
      </c>
      <c r="J34" s="345">
        <v>500</v>
      </c>
      <c r="K34" s="345">
        <v>500</v>
      </c>
      <c r="L34" s="345">
        <v>500</v>
      </c>
      <c r="M34" s="345">
        <v>500</v>
      </c>
      <c r="N34" s="345">
        <v>500</v>
      </c>
      <c r="O34" s="345">
        <v>500</v>
      </c>
      <c r="P34" s="345">
        <v>500</v>
      </c>
      <c r="Q34" s="68">
        <f t="shared" si="11"/>
        <v>6000</v>
      </c>
    </row>
    <row r="35" spans="1:17" x14ac:dyDescent="0.3">
      <c r="A35" s="367" t="s">
        <v>5</v>
      </c>
      <c r="B35" s="351">
        <f t="shared" ref="B35:P35" si="12">SUM(B28:B34)</f>
        <v>5100</v>
      </c>
      <c r="C35" s="63">
        <f t="shared" si="12"/>
        <v>5100</v>
      </c>
      <c r="D35" s="63">
        <f t="shared" si="12"/>
        <v>5100</v>
      </c>
      <c r="E35" s="63">
        <f t="shared" si="12"/>
        <v>5100</v>
      </c>
      <c r="F35" s="63">
        <f t="shared" si="12"/>
        <v>9500</v>
      </c>
      <c r="G35" s="63">
        <f t="shared" si="12"/>
        <v>8600</v>
      </c>
      <c r="H35" s="63">
        <f t="shared" si="12"/>
        <v>5100</v>
      </c>
      <c r="I35" s="63">
        <f t="shared" si="12"/>
        <v>5100</v>
      </c>
      <c r="J35" s="63">
        <f t="shared" si="12"/>
        <v>5100</v>
      </c>
      <c r="K35" s="63">
        <f t="shared" si="12"/>
        <v>5400</v>
      </c>
      <c r="L35" s="63">
        <f t="shared" si="12"/>
        <v>5400</v>
      </c>
      <c r="M35" s="63">
        <f t="shared" si="12"/>
        <v>5400</v>
      </c>
      <c r="N35" s="63">
        <f t="shared" si="12"/>
        <v>5400</v>
      </c>
      <c r="O35" s="63">
        <f t="shared" si="12"/>
        <v>5400</v>
      </c>
      <c r="P35" s="64">
        <f t="shared" si="12"/>
        <v>5400</v>
      </c>
      <c r="Q35" s="65">
        <f t="shared" si="11"/>
        <v>70900</v>
      </c>
    </row>
    <row r="36" spans="1:17" x14ac:dyDescent="0.3">
      <c r="A36" s="367" t="s">
        <v>4</v>
      </c>
      <c r="B36" s="352">
        <f>B35/B10</f>
        <v>7.6304355632159135E-2</v>
      </c>
      <c r="C36" s="95">
        <f>C35/C10</f>
        <v>0.15666277569576703</v>
      </c>
      <c r="D36" s="95">
        <f>D35/D10</f>
        <v>3.9189243705227729E-2</v>
      </c>
      <c r="E36" s="95">
        <f t="shared" ref="E36:Q36" si="13">E35/E12</f>
        <v>2.1609272615147179E-2</v>
      </c>
      <c r="F36" s="95">
        <f t="shared" si="13"/>
        <v>3.4425927724395448E-2</v>
      </c>
      <c r="G36" s="95" t="e">
        <f t="shared" si="13"/>
        <v>#DIV/0!</v>
      </c>
      <c r="H36" s="95">
        <f t="shared" si="13"/>
        <v>1.5165031222123104E-2</v>
      </c>
      <c r="I36" s="95">
        <f t="shared" si="13"/>
        <v>1.3998490358882865E-2</v>
      </c>
      <c r="J36" s="95">
        <f t="shared" si="13"/>
        <v>1.1373773416592329E-2</v>
      </c>
      <c r="K36" s="95">
        <f t="shared" si="13"/>
        <v>9.6342551293487951E-3</v>
      </c>
      <c r="L36" s="95">
        <f t="shared" si="13"/>
        <v>8.0285459411239962E-3</v>
      </c>
      <c r="M36" s="95">
        <f t="shared" si="13"/>
        <v>6.8816108066777114E-3</v>
      </c>
      <c r="N36" s="95">
        <f t="shared" si="13"/>
        <v>7.410965484114458E-3</v>
      </c>
      <c r="O36" s="95">
        <f t="shared" si="13"/>
        <v>8.0285459411239962E-3</v>
      </c>
      <c r="P36" s="96">
        <f t="shared" si="13"/>
        <v>8.7584137539534514E-3</v>
      </c>
      <c r="Q36" s="97">
        <f t="shared" si="13"/>
        <v>1.2446043166288515E-2</v>
      </c>
    </row>
    <row r="37" spans="1:17" x14ac:dyDescent="0.3">
      <c r="A37" s="377" t="s">
        <v>6</v>
      </c>
      <c r="B37" s="345"/>
      <c r="C37" s="66"/>
      <c r="D37" s="66"/>
      <c r="E37" s="66"/>
      <c r="F37" s="66"/>
      <c r="G37" s="66"/>
      <c r="H37" s="66"/>
      <c r="I37" s="66"/>
      <c r="J37" s="66"/>
      <c r="K37" s="66"/>
      <c r="L37" s="66"/>
      <c r="M37" s="66"/>
      <c r="N37" s="66"/>
      <c r="O37" s="66"/>
      <c r="P37" s="67"/>
      <c r="Q37" s="68"/>
    </row>
    <row r="38" spans="1:17" x14ac:dyDescent="0.3">
      <c r="A38" s="373" t="s">
        <v>7</v>
      </c>
      <c r="B38" s="345">
        <v>0</v>
      </c>
      <c r="C38" s="66">
        <v>0</v>
      </c>
      <c r="D38" s="66">
        <v>0</v>
      </c>
      <c r="E38" s="66">
        <v>0</v>
      </c>
      <c r="F38" s="66">
        <v>0</v>
      </c>
      <c r="G38" s="66">
        <v>0</v>
      </c>
      <c r="H38" s="66">
        <v>0</v>
      </c>
      <c r="I38" s="66">
        <v>0</v>
      </c>
      <c r="J38" s="66">
        <v>0</v>
      </c>
      <c r="K38" s="66">
        <v>0</v>
      </c>
      <c r="L38" s="66">
        <v>0</v>
      </c>
      <c r="M38" s="66">
        <v>0</v>
      </c>
      <c r="N38" s="66">
        <v>0</v>
      </c>
      <c r="O38" s="66">
        <v>0</v>
      </c>
      <c r="P38" s="67">
        <v>0</v>
      </c>
      <c r="Q38" s="68">
        <f>SUM(G38:P38)</f>
        <v>0</v>
      </c>
    </row>
    <row r="39" spans="1:17" x14ac:dyDescent="0.3">
      <c r="A39" s="373" t="s">
        <v>8</v>
      </c>
      <c r="B39" s="345">
        <v>0</v>
      </c>
      <c r="C39" s="66">
        <v>0</v>
      </c>
      <c r="D39" s="66">
        <v>0</v>
      </c>
      <c r="E39" s="66">
        <v>0</v>
      </c>
      <c r="F39" s="66">
        <v>0</v>
      </c>
      <c r="G39" s="66">
        <v>0</v>
      </c>
      <c r="H39" s="66">
        <v>0</v>
      </c>
      <c r="I39" s="66">
        <v>0</v>
      </c>
      <c r="J39" s="66">
        <v>0</v>
      </c>
      <c r="K39" s="66">
        <v>0</v>
      </c>
      <c r="L39" s="66">
        <v>0</v>
      </c>
      <c r="M39" s="66">
        <v>0</v>
      </c>
      <c r="N39" s="66">
        <v>0</v>
      </c>
      <c r="O39" s="66">
        <v>0</v>
      </c>
      <c r="P39" s="67">
        <v>0</v>
      </c>
      <c r="Q39" s="68">
        <f t="shared" ref="Q39:Q45" si="14">SUM(E39:P39)</f>
        <v>0</v>
      </c>
    </row>
    <row r="40" spans="1:17" x14ac:dyDescent="0.3">
      <c r="A40" s="373" t="s">
        <v>9</v>
      </c>
      <c r="B40" s="345">
        <v>0</v>
      </c>
      <c r="C40" s="66">
        <v>0</v>
      </c>
      <c r="D40" s="66">
        <v>0</v>
      </c>
      <c r="E40" s="66">
        <v>0</v>
      </c>
      <c r="F40" s="66">
        <v>0</v>
      </c>
      <c r="G40" s="66">
        <v>0</v>
      </c>
      <c r="H40" s="66">
        <v>0</v>
      </c>
      <c r="I40" s="66">
        <v>0</v>
      </c>
      <c r="J40" s="66">
        <v>0</v>
      </c>
      <c r="K40" s="66">
        <v>0</v>
      </c>
      <c r="L40" s="66">
        <v>0</v>
      </c>
      <c r="M40" s="66">
        <v>0</v>
      </c>
      <c r="N40" s="66">
        <v>0</v>
      </c>
      <c r="O40" s="66">
        <v>0</v>
      </c>
      <c r="P40" s="67">
        <v>0</v>
      </c>
      <c r="Q40" s="68">
        <f t="shared" si="14"/>
        <v>0</v>
      </c>
    </row>
    <row r="41" spans="1:17" x14ac:dyDescent="0.3">
      <c r="A41" s="376" t="s">
        <v>206</v>
      </c>
      <c r="B41" s="345">
        <f>4650</f>
        <v>4650</v>
      </c>
      <c r="C41" s="66">
        <f>5708+4400</f>
        <v>10108</v>
      </c>
      <c r="D41" s="66">
        <v>7000</v>
      </c>
      <c r="E41" s="66">
        <v>5000</v>
      </c>
      <c r="F41" s="66">
        <v>24801</v>
      </c>
      <c r="G41" s="66">
        <v>0</v>
      </c>
      <c r="H41" s="66">
        <v>0</v>
      </c>
      <c r="I41" s="66">
        <v>0</v>
      </c>
      <c r="J41" s="66">
        <v>0</v>
      </c>
      <c r="K41" s="66">
        <v>0</v>
      </c>
      <c r="L41" s="66">
        <v>0</v>
      </c>
      <c r="M41" s="66">
        <v>0</v>
      </c>
      <c r="N41" s="66">
        <v>0</v>
      </c>
      <c r="O41" s="66">
        <v>0</v>
      </c>
      <c r="P41" s="67">
        <v>0</v>
      </c>
      <c r="Q41" s="68">
        <f>SUM(E41:P41)</f>
        <v>29801</v>
      </c>
    </row>
    <row r="42" spans="1:17" x14ac:dyDescent="0.3">
      <c r="A42" s="373" t="s">
        <v>131</v>
      </c>
      <c r="B42" s="345">
        <v>500</v>
      </c>
      <c r="C42" s="66">
        <v>0</v>
      </c>
      <c r="D42" s="66">
        <v>700</v>
      </c>
      <c r="E42" s="66">
        <f>300</f>
        <v>300</v>
      </c>
      <c r="F42" s="66">
        <f>350+(2060*4)</f>
        <v>8590</v>
      </c>
      <c r="G42" s="66">
        <v>300</v>
      </c>
      <c r="H42" s="66">
        <v>300</v>
      </c>
      <c r="I42" s="66">
        <v>300</v>
      </c>
      <c r="J42" s="66">
        <v>300</v>
      </c>
      <c r="K42" s="66">
        <v>300</v>
      </c>
      <c r="L42" s="66">
        <v>300</v>
      </c>
      <c r="M42" s="66">
        <v>300</v>
      </c>
      <c r="N42" s="66">
        <v>300</v>
      </c>
      <c r="O42" s="66">
        <f>O12*0.5%</f>
        <v>3363</v>
      </c>
      <c r="P42" s="67">
        <f>P12*0.5%</f>
        <v>3082.75</v>
      </c>
      <c r="Q42" s="68">
        <f t="shared" si="14"/>
        <v>17735.75</v>
      </c>
    </row>
    <row r="43" spans="1:17" x14ac:dyDescent="0.3">
      <c r="A43" s="373" t="s">
        <v>10</v>
      </c>
      <c r="B43" s="345">
        <v>600</v>
      </c>
      <c r="C43" s="345">
        <v>600</v>
      </c>
      <c r="D43" s="345">
        <v>600</v>
      </c>
      <c r="E43" s="345">
        <v>600</v>
      </c>
      <c r="F43" s="345">
        <v>600</v>
      </c>
      <c r="G43" s="345">
        <v>600</v>
      </c>
      <c r="H43" s="345">
        <v>600</v>
      </c>
      <c r="I43" s="345">
        <v>600</v>
      </c>
      <c r="J43" s="345">
        <v>600</v>
      </c>
      <c r="K43" s="345">
        <v>600</v>
      </c>
      <c r="L43" s="345">
        <v>600</v>
      </c>
      <c r="M43" s="345">
        <v>600</v>
      </c>
      <c r="N43" s="345">
        <v>600</v>
      </c>
      <c r="O43" s="345">
        <v>600</v>
      </c>
      <c r="P43" s="345">
        <v>600</v>
      </c>
      <c r="Q43" s="68">
        <f t="shared" si="14"/>
        <v>7200</v>
      </c>
    </row>
    <row r="44" spans="1:17" x14ac:dyDescent="0.3">
      <c r="A44" s="373" t="s">
        <v>30</v>
      </c>
      <c r="B44" s="345">
        <v>1000</v>
      </c>
      <c r="C44" s="66">
        <v>1000</v>
      </c>
      <c r="D44" s="66">
        <v>0</v>
      </c>
      <c r="E44" s="66">
        <v>1000</v>
      </c>
      <c r="F44" s="66">
        <v>1000</v>
      </c>
      <c r="G44" s="66">
        <v>1000</v>
      </c>
      <c r="H44" s="66">
        <v>1000</v>
      </c>
      <c r="I44" s="66">
        <v>1000</v>
      </c>
      <c r="J44" s="66">
        <v>1000</v>
      </c>
      <c r="K44" s="66">
        <v>1000</v>
      </c>
      <c r="L44" s="66">
        <v>1000</v>
      </c>
      <c r="M44" s="66">
        <v>1000</v>
      </c>
      <c r="N44" s="66">
        <v>1000</v>
      </c>
      <c r="O44" s="66">
        <v>1000</v>
      </c>
      <c r="P44" s="66">
        <v>1000</v>
      </c>
      <c r="Q44" s="68">
        <f t="shared" si="14"/>
        <v>12000</v>
      </c>
    </row>
    <row r="45" spans="1:17" x14ac:dyDescent="0.3">
      <c r="A45" s="378" t="s">
        <v>11</v>
      </c>
      <c r="B45" s="353">
        <f t="shared" ref="B45:P45" si="15">SUM(B38:B44)</f>
        <v>6750</v>
      </c>
      <c r="C45" s="79">
        <f t="shared" si="15"/>
        <v>11708</v>
      </c>
      <c r="D45" s="79">
        <f t="shared" si="15"/>
        <v>8300</v>
      </c>
      <c r="E45" s="79">
        <f t="shared" si="15"/>
        <v>6900</v>
      </c>
      <c r="F45" s="79">
        <f t="shared" si="15"/>
        <v>34991</v>
      </c>
      <c r="G45" s="79">
        <f t="shared" si="15"/>
        <v>1900</v>
      </c>
      <c r="H45" s="79">
        <f t="shared" si="15"/>
        <v>1900</v>
      </c>
      <c r="I45" s="79">
        <f t="shared" si="15"/>
        <v>1900</v>
      </c>
      <c r="J45" s="79">
        <f t="shared" si="15"/>
        <v>1900</v>
      </c>
      <c r="K45" s="79">
        <f t="shared" si="15"/>
        <v>1900</v>
      </c>
      <c r="L45" s="79">
        <f t="shared" si="15"/>
        <v>1900</v>
      </c>
      <c r="M45" s="79">
        <f t="shared" si="15"/>
        <v>1900</v>
      </c>
      <c r="N45" s="79">
        <f t="shared" si="15"/>
        <v>1900</v>
      </c>
      <c r="O45" s="79">
        <f t="shared" si="15"/>
        <v>4963</v>
      </c>
      <c r="P45" s="80">
        <f t="shared" si="15"/>
        <v>4682.75</v>
      </c>
      <c r="Q45" s="81">
        <f t="shared" si="14"/>
        <v>66736.75</v>
      </c>
    </row>
    <row r="46" spans="1:17" x14ac:dyDescent="0.3">
      <c r="A46" s="378" t="s">
        <v>4</v>
      </c>
      <c r="B46" s="354">
        <f>B45/B10</f>
        <v>0.1009910589249165</v>
      </c>
      <c r="C46" s="98">
        <f>C45/C10</f>
        <v>0.35964858389138049</v>
      </c>
      <c r="D46" s="98">
        <f>D45/D10</f>
        <v>6.3778573088900031E-2</v>
      </c>
      <c r="E46" s="98">
        <f t="shared" ref="E46:Q46" si="16">E45/E12</f>
        <v>2.9236074714610889E-2</v>
      </c>
      <c r="F46" s="98">
        <f t="shared" si="16"/>
        <v>0.12679975126361273</v>
      </c>
      <c r="G46" s="98" t="e">
        <f t="shared" si="16"/>
        <v>#DIV/0!</v>
      </c>
      <c r="H46" s="98">
        <f t="shared" si="16"/>
        <v>5.6497175141242938E-3</v>
      </c>
      <c r="I46" s="98">
        <f t="shared" si="16"/>
        <v>5.2151238591916557E-3</v>
      </c>
      <c r="J46" s="98">
        <f t="shared" si="16"/>
        <v>4.2372881355932203E-3</v>
      </c>
      <c r="K46" s="98">
        <f t="shared" si="16"/>
        <v>3.3898305084745762E-3</v>
      </c>
      <c r="L46" s="98">
        <f t="shared" si="16"/>
        <v>2.8248587570621469E-3</v>
      </c>
      <c r="M46" s="98">
        <f t="shared" si="16"/>
        <v>2.4213075060532689E-3</v>
      </c>
      <c r="N46" s="98">
        <f t="shared" si="16"/>
        <v>2.6075619295958278E-3</v>
      </c>
      <c r="O46" s="98">
        <f t="shared" si="16"/>
        <v>7.3788284269997026E-3</v>
      </c>
      <c r="P46" s="99">
        <f t="shared" si="16"/>
        <v>7.5950855567269481E-3</v>
      </c>
      <c r="Q46" s="100">
        <f t="shared" si="16"/>
        <v>1.1715211160476798E-2</v>
      </c>
    </row>
    <row r="47" spans="1:17" x14ac:dyDescent="0.3">
      <c r="A47" s="370" t="s">
        <v>12</v>
      </c>
      <c r="B47" s="345"/>
      <c r="C47" s="66"/>
      <c r="D47" s="66"/>
      <c r="E47" s="66"/>
      <c r="F47" s="66"/>
      <c r="G47" s="66"/>
      <c r="H47" s="66"/>
      <c r="I47" s="66"/>
      <c r="J47" s="66"/>
      <c r="K47" s="66"/>
      <c r="L47" s="66"/>
      <c r="M47" s="66"/>
      <c r="N47" s="66"/>
      <c r="O47" s="66"/>
      <c r="P47" s="67"/>
      <c r="Q47" s="68"/>
    </row>
    <row r="48" spans="1:17" x14ac:dyDescent="0.3">
      <c r="A48" s="372" t="s">
        <v>36</v>
      </c>
      <c r="B48" s="355">
        <v>1</v>
      </c>
      <c r="C48" s="82">
        <v>1</v>
      </c>
      <c r="D48" s="82">
        <v>1</v>
      </c>
      <c r="E48" s="82">
        <v>1</v>
      </c>
      <c r="F48" s="82">
        <v>1</v>
      </c>
      <c r="G48" s="82">
        <v>1</v>
      </c>
      <c r="H48" s="82">
        <v>1</v>
      </c>
      <c r="I48" s="82">
        <v>1</v>
      </c>
      <c r="J48" s="82">
        <v>1</v>
      </c>
      <c r="K48" s="82">
        <v>1</v>
      </c>
      <c r="L48" s="82">
        <v>1</v>
      </c>
      <c r="M48" s="82">
        <v>1</v>
      </c>
      <c r="N48" s="82">
        <v>1</v>
      </c>
      <c r="O48" s="82">
        <v>1</v>
      </c>
      <c r="P48" s="83">
        <v>1</v>
      </c>
      <c r="Q48" s="84">
        <f>SUM(E48:P48)</f>
        <v>12</v>
      </c>
    </row>
    <row r="49" spans="1:17" x14ac:dyDescent="0.3">
      <c r="A49" s="372" t="s">
        <v>13</v>
      </c>
      <c r="B49" s="355">
        <v>1</v>
      </c>
      <c r="C49" s="82">
        <v>1</v>
      </c>
      <c r="D49" s="82">
        <v>1</v>
      </c>
      <c r="E49" s="82">
        <v>1</v>
      </c>
      <c r="F49" s="82">
        <v>1</v>
      </c>
      <c r="G49" s="82">
        <v>1</v>
      </c>
      <c r="H49" s="82">
        <v>1</v>
      </c>
      <c r="I49" s="82">
        <v>1</v>
      </c>
      <c r="J49" s="82">
        <v>1</v>
      </c>
      <c r="K49" s="82">
        <v>1</v>
      </c>
      <c r="L49" s="82">
        <v>1</v>
      </c>
      <c r="M49" s="82">
        <v>1</v>
      </c>
      <c r="N49" s="82">
        <v>1</v>
      </c>
      <c r="O49" s="82">
        <v>1</v>
      </c>
      <c r="P49" s="83">
        <v>1</v>
      </c>
      <c r="Q49" s="84">
        <f>SUM(E49:P49)</f>
        <v>12</v>
      </c>
    </row>
    <row r="50" spans="1:17" x14ac:dyDescent="0.3">
      <c r="A50" s="372" t="s">
        <v>14</v>
      </c>
      <c r="B50" s="355">
        <v>1</v>
      </c>
      <c r="C50" s="82">
        <v>1</v>
      </c>
      <c r="D50" s="82">
        <v>1</v>
      </c>
      <c r="E50" s="82">
        <v>1</v>
      </c>
      <c r="F50" s="82">
        <v>1</v>
      </c>
      <c r="G50" s="82">
        <v>1</v>
      </c>
      <c r="H50" s="82">
        <v>1</v>
      </c>
      <c r="I50" s="82">
        <v>1</v>
      </c>
      <c r="J50" s="82">
        <v>1</v>
      </c>
      <c r="K50" s="82">
        <v>1</v>
      </c>
      <c r="L50" s="82">
        <v>1</v>
      </c>
      <c r="M50" s="82">
        <v>1</v>
      </c>
      <c r="N50" s="82">
        <v>1</v>
      </c>
      <c r="O50" s="82">
        <v>1</v>
      </c>
      <c r="P50" s="83">
        <v>1</v>
      </c>
      <c r="Q50" s="84">
        <f>SUM(E50:P50)</f>
        <v>12</v>
      </c>
    </row>
    <row r="51" spans="1:17" x14ac:dyDescent="0.3">
      <c r="A51" s="372" t="s">
        <v>15</v>
      </c>
      <c r="B51" s="355">
        <v>1</v>
      </c>
      <c r="C51" s="82">
        <v>1</v>
      </c>
      <c r="D51" s="82">
        <v>1</v>
      </c>
      <c r="E51" s="82">
        <v>1</v>
      </c>
      <c r="F51" s="82">
        <v>1</v>
      </c>
      <c r="G51" s="82">
        <v>1</v>
      </c>
      <c r="H51" s="82">
        <v>1</v>
      </c>
      <c r="I51" s="82">
        <v>1</v>
      </c>
      <c r="J51" s="82">
        <v>1</v>
      </c>
      <c r="K51" s="82">
        <v>1</v>
      </c>
      <c r="L51" s="82">
        <v>1</v>
      </c>
      <c r="M51" s="82">
        <v>1</v>
      </c>
      <c r="N51" s="82">
        <v>1</v>
      </c>
      <c r="O51" s="82">
        <v>1</v>
      </c>
      <c r="P51" s="83">
        <v>1</v>
      </c>
      <c r="Q51" s="84">
        <f>SUM(E51:P51)</f>
        <v>12</v>
      </c>
    </row>
    <row r="52" spans="1:17" x14ac:dyDescent="0.3">
      <c r="A52" s="367" t="s">
        <v>16</v>
      </c>
      <c r="B52" s="351">
        <f t="shared" ref="B52:P52" si="17">SUM(B48:B51)</f>
        <v>4</v>
      </c>
      <c r="C52" s="63">
        <f t="shared" si="17"/>
        <v>4</v>
      </c>
      <c r="D52" s="63">
        <f t="shared" si="17"/>
        <v>4</v>
      </c>
      <c r="E52" s="63">
        <f t="shared" si="17"/>
        <v>4</v>
      </c>
      <c r="F52" s="63">
        <f t="shared" si="17"/>
        <v>4</v>
      </c>
      <c r="G52" s="63">
        <f t="shared" si="17"/>
        <v>4</v>
      </c>
      <c r="H52" s="63">
        <f t="shared" si="17"/>
        <v>4</v>
      </c>
      <c r="I52" s="63">
        <f t="shared" si="17"/>
        <v>4</v>
      </c>
      <c r="J52" s="63">
        <f t="shared" si="17"/>
        <v>4</v>
      </c>
      <c r="K52" s="63">
        <f t="shared" si="17"/>
        <v>4</v>
      </c>
      <c r="L52" s="63">
        <f t="shared" si="17"/>
        <v>4</v>
      </c>
      <c r="M52" s="63">
        <f t="shared" si="17"/>
        <v>4</v>
      </c>
      <c r="N52" s="63">
        <f t="shared" si="17"/>
        <v>4</v>
      </c>
      <c r="O52" s="63">
        <f t="shared" si="17"/>
        <v>4</v>
      </c>
      <c r="P52" s="64">
        <f t="shared" si="17"/>
        <v>4</v>
      </c>
      <c r="Q52" s="65">
        <f>SUM(E52:P52)</f>
        <v>48</v>
      </c>
    </row>
    <row r="53" spans="1:17" x14ac:dyDescent="0.3">
      <c r="A53" s="379" t="s">
        <v>4</v>
      </c>
      <c r="B53" s="356">
        <f t="shared" ref="B53:P53" si="18">B52/B10</f>
        <v>5.9846553436987559E-5</v>
      </c>
      <c r="C53" s="113">
        <f t="shared" si="18"/>
        <v>1.2287276525158199E-4</v>
      </c>
      <c r="D53" s="113">
        <f t="shared" si="18"/>
        <v>3.0736661729590379E-5</v>
      </c>
      <c r="E53" s="113">
        <f t="shared" si="18"/>
        <v>1.881600301056048E-5</v>
      </c>
      <c r="F53" s="113">
        <f t="shared" si="18"/>
        <v>1.7104250406225947E-5</v>
      </c>
      <c r="G53" s="113" t="e">
        <f t="shared" si="18"/>
        <v>#DIV/0!</v>
      </c>
      <c r="H53" s="113">
        <f t="shared" si="18"/>
        <v>1.4035087719298246E-5</v>
      </c>
      <c r="I53" s="113">
        <f t="shared" si="18"/>
        <v>1.2955465587044535E-5</v>
      </c>
      <c r="J53" s="113">
        <f t="shared" si="18"/>
        <v>1.0526315789473684E-5</v>
      </c>
      <c r="K53" s="113">
        <f t="shared" si="18"/>
        <v>8.4210526315789465E-6</v>
      </c>
      <c r="L53" s="113">
        <f t="shared" si="18"/>
        <v>7.017543859649123E-6</v>
      </c>
      <c r="M53" s="113">
        <f t="shared" si="18"/>
        <v>6.0150375939849624E-6</v>
      </c>
      <c r="N53" s="113">
        <f t="shared" si="18"/>
        <v>6.4777327935222675E-6</v>
      </c>
      <c r="O53" s="113">
        <f t="shared" si="18"/>
        <v>7.017543859649123E-6</v>
      </c>
      <c r="P53" s="120">
        <f t="shared" si="18"/>
        <v>7.6555023923444976E-6</v>
      </c>
      <c r="Q53" s="65">
        <f>Q52/Q12</f>
        <v>8.426094104116342E-6</v>
      </c>
    </row>
    <row r="54" spans="1:17" x14ac:dyDescent="0.3">
      <c r="A54" s="380" t="s">
        <v>18</v>
      </c>
      <c r="B54" s="357">
        <f>B25+B35+B45+B53</f>
        <v>103665.00005984656</v>
      </c>
      <c r="C54" s="85">
        <f>C25+C35+C45+C52</f>
        <v>128856</v>
      </c>
      <c r="D54" s="114">
        <f>D52+D45+D35+D25</f>
        <v>190395</v>
      </c>
      <c r="E54" s="85">
        <f t="shared" ref="E54:P54" si="19">E25+E35+E45+E52</f>
        <v>180582</v>
      </c>
      <c r="F54" s="85">
        <f t="shared" si="19"/>
        <v>182687</v>
      </c>
      <c r="G54" s="85">
        <f t="shared" si="19"/>
        <v>149704</v>
      </c>
      <c r="H54" s="85">
        <f t="shared" si="19"/>
        <v>153704</v>
      </c>
      <c r="I54" s="85">
        <f t="shared" si="19"/>
        <v>153704</v>
      </c>
      <c r="J54" s="85">
        <f t="shared" si="19"/>
        <v>153704</v>
      </c>
      <c r="K54" s="85">
        <f t="shared" si="19"/>
        <v>154004</v>
      </c>
      <c r="L54" s="85">
        <f t="shared" si="19"/>
        <v>198404</v>
      </c>
      <c r="M54" s="85">
        <f t="shared" si="19"/>
        <v>184404</v>
      </c>
      <c r="N54" s="85">
        <f t="shared" si="19"/>
        <v>184404</v>
      </c>
      <c r="O54" s="85">
        <f t="shared" si="19"/>
        <v>187467</v>
      </c>
      <c r="P54" s="86">
        <f t="shared" si="19"/>
        <v>187186.75</v>
      </c>
      <c r="Q54" s="87">
        <f>SUM(E54:P54)</f>
        <v>2069954.75</v>
      </c>
    </row>
    <row r="55" spans="1:17" x14ac:dyDescent="0.3">
      <c r="A55" s="380" t="s">
        <v>4</v>
      </c>
      <c r="B55" s="358">
        <f t="shared" ref="B55:P55" si="20">B54/B10</f>
        <v>1.5509982414067314</v>
      </c>
      <c r="C55" s="92">
        <f t="shared" si="20"/>
        <v>3.9582232598144622</v>
      </c>
      <c r="D55" s="92">
        <f t="shared" si="20"/>
        <v>1.4630266775013399</v>
      </c>
      <c r="E55" s="92">
        <f t="shared" si="20"/>
        <v>0.84945786391325817</v>
      </c>
      <c r="F55" s="92">
        <f t="shared" si="20"/>
        <v>0.78118104849054992</v>
      </c>
      <c r="G55" s="92" t="e">
        <f t="shared" si="20"/>
        <v>#DIV/0!</v>
      </c>
      <c r="H55" s="92">
        <f t="shared" si="20"/>
        <v>0.53931228070175441</v>
      </c>
      <c r="I55" s="92">
        <f t="shared" si="20"/>
        <v>0.49782672064777328</v>
      </c>
      <c r="J55" s="92">
        <f t="shared" si="20"/>
        <v>0.40448421052631578</v>
      </c>
      <c r="K55" s="92">
        <f t="shared" si="20"/>
        <v>0.32421894736842105</v>
      </c>
      <c r="L55" s="92">
        <f t="shared" si="20"/>
        <v>0.34807719298245615</v>
      </c>
      <c r="M55" s="92">
        <f t="shared" si="20"/>
        <v>0.27729924812030077</v>
      </c>
      <c r="N55" s="92">
        <f t="shared" si="20"/>
        <v>0.29862995951417004</v>
      </c>
      <c r="O55" s="92">
        <f t="shared" si="20"/>
        <v>0.32888947368421051</v>
      </c>
      <c r="P55" s="92">
        <f t="shared" si="20"/>
        <v>0.35825215311004782</v>
      </c>
      <c r="Q55" s="94">
        <f>Q54/Q12</f>
        <v>0.36336736489088783</v>
      </c>
    </row>
    <row r="56" spans="1:17" x14ac:dyDescent="0.3">
      <c r="A56" s="372"/>
      <c r="B56" s="345"/>
      <c r="C56" s="66"/>
      <c r="D56" s="66"/>
      <c r="E56" s="66"/>
      <c r="F56" s="66"/>
      <c r="G56" s="66"/>
      <c r="H56" s="66"/>
      <c r="I56" s="66"/>
      <c r="J56" s="66"/>
      <c r="K56" s="66"/>
      <c r="L56" s="66"/>
      <c r="M56" s="66"/>
      <c r="N56" s="66"/>
      <c r="O56" s="66"/>
      <c r="P56" s="67"/>
      <c r="Q56" s="68"/>
    </row>
    <row r="57" spans="1:17" x14ac:dyDescent="0.3">
      <c r="A57" s="381" t="s">
        <v>19</v>
      </c>
      <c r="B57" s="359">
        <f>B10-B54</f>
        <v>-36827.40005984655</v>
      </c>
      <c r="C57" s="115">
        <f>C10-C54</f>
        <v>-96302</v>
      </c>
      <c r="D57" s="115">
        <f>D10-D54</f>
        <v>-60257.25</v>
      </c>
      <c r="E57" s="112">
        <f t="shared" ref="E57:P57" si="21">E6-E54</f>
        <v>28133</v>
      </c>
      <c r="F57" s="112">
        <f t="shared" si="21"/>
        <v>46513</v>
      </c>
      <c r="G57" s="112">
        <f t="shared" si="21"/>
        <v>-149704</v>
      </c>
      <c r="H57" s="112">
        <f t="shared" si="21"/>
        <v>146296</v>
      </c>
      <c r="I57" s="112">
        <f t="shared" si="21"/>
        <v>171296</v>
      </c>
      <c r="J57" s="112">
        <f t="shared" si="21"/>
        <v>246296</v>
      </c>
      <c r="K57" s="112">
        <f t="shared" si="21"/>
        <v>345996</v>
      </c>
      <c r="L57" s="112">
        <f t="shared" si="21"/>
        <v>401596</v>
      </c>
      <c r="M57" s="112">
        <f t="shared" si="21"/>
        <v>515596</v>
      </c>
      <c r="N57" s="112">
        <f t="shared" si="21"/>
        <v>465596</v>
      </c>
      <c r="O57" s="112">
        <f t="shared" si="21"/>
        <v>412533</v>
      </c>
      <c r="P57" s="121">
        <f t="shared" si="21"/>
        <v>362813.25</v>
      </c>
      <c r="Q57" s="125">
        <f>SUM(E57:P57)</f>
        <v>2992960.25</v>
      </c>
    </row>
    <row r="58" spans="1:17" x14ac:dyDescent="0.3">
      <c r="A58" s="382" t="s">
        <v>4</v>
      </c>
      <c r="B58" s="360">
        <f t="shared" ref="B58:P58" si="22">B57/B10</f>
        <v>-0.55099824140673137</v>
      </c>
      <c r="C58" s="116">
        <f t="shared" si="22"/>
        <v>-2.9582232598144622</v>
      </c>
      <c r="D58" s="116">
        <f t="shared" si="22"/>
        <v>-0.46302667750133991</v>
      </c>
      <c r="E58" s="338">
        <f t="shared" si="22"/>
        <v>0.13233765317402452</v>
      </c>
      <c r="F58" s="338">
        <f t="shared" si="22"/>
        <v>0.19889249978619686</v>
      </c>
      <c r="G58" s="338" t="e">
        <f t="shared" si="22"/>
        <v>#DIV/0!</v>
      </c>
      <c r="H58" s="338">
        <f t="shared" si="22"/>
        <v>0.51331929824561406</v>
      </c>
      <c r="I58" s="338">
        <f t="shared" si="22"/>
        <v>0.55480485829959514</v>
      </c>
      <c r="J58" s="338">
        <f t="shared" si="22"/>
        <v>0.64814736842105258</v>
      </c>
      <c r="K58" s="338">
        <f t="shared" si="22"/>
        <v>0.72841263157894742</v>
      </c>
      <c r="L58" s="338">
        <f t="shared" si="22"/>
        <v>0.70455438596491227</v>
      </c>
      <c r="M58" s="338">
        <f t="shared" si="22"/>
        <v>0.77533233082706765</v>
      </c>
      <c r="N58" s="338">
        <f t="shared" si="22"/>
        <v>0.75400161943319843</v>
      </c>
      <c r="O58" s="338">
        <f t="shared" si="22"/>
        <v>0.72374210526315785</v>
      </c>
      <c r="P58" s="338">
        <f t="shared" si="22"/>
        <v>0.6943794258373206</v>
      </c>
      <c r="Q58" s="126">
        <f>Q57/Q12</f>
        <v>0.52539509825790776</v>
      </c>
    </row>
    <row r="59" spans="1:17" x14ac:dyDescent="0.3">
      <c r="A59" s="370" t="s">
        <v>20</v>
      </c>
      <c r="B59" s="345"/>
      <c r="C59" s="66"/>
      <c r="D59" s="66"/>
      <c r="E59" s="66"/>
      <c r="F59" s="66"/>
      <c r="G59" s="66"/>
      <c r="H59" s="66"/>
      <c r="I59" s="66"/>
      <c r="J59" s="66"/>
      <c r="K59" s="66"/>
      <c r="L59" s="66"/>
      <c r="M59" s="66"/>
      <c r="N59" s="66"/>
      <c r="O59" s="66"/>
      <c r="P59" s="67"/>
      <c r="Q59" s="68"/>
    </row>
    <row r="60" spans="1:17" x14ac:dyDescent="0.3">
      <c r="A60" s="373" t="s">
        <v>21</v>
      </c>
      <c r="B60" s="345">
        <v>0</v>
      </c>
      <c r="C60" s="66">
        <v>0</v>
      </c>
      <c r="D60" s="66">
        <v>0</v>
      </c>
      <c r="E60" s="66">
        <v>0</v>
      </c>
      <c r="F60" s="66">
        <v>0</v>
      </c>
      <c r="G60" s="66">
        <v>0</v>
      </c>
      <c r="H60" s="66">
        <v>0</v>
      </c>
      <c r="I60" s="66">
        <v>0</v>
      </c>
      <c r="J60" s="66">
        <v>0</v>
      </c>
      <c r="K60" s="66">
        <v>0</v>
      </c>
      <c r="L60" s="66">
        <v>0</v>
      </c>
      <c r="M60" s="66">
        <v>0</v>
      </c>
      <c r="N60" s="66">
        <v>0</v>
      </c>
      <c r="O60" s="66">
        <v>0</v>
      </c>
      <c r="P60" s="67">
        <v>0</v>
      </c>
      <c r="Q60" s="68">
        <f>SUM(E60:P60)</f>
        <v>0</v>
      </c>
    </row>
    <row r="61" spans="1:17" x14ac:dyDescent="0.3">
      <c r="A61" s="373" t="s">
        <v>22</v>
      </c>
      <c r="B61" s="345">
        <v>0</v>
      </c>
      <c r="C61" s="66">
        <v>0</v>
      </c>
      <c r="D61" s="66">
        <v>0</v>
      </c>
      <c r="E61" s="66">
        <v>0</v>
      </c>
      <c r="F61" s="66">
        <v>0</v>
      </c>
      <c r="G61" s="66">
        <v>0</v>
      </c>
      <c r="H61" s="66">
        <v>0</v>
      </c>
      <c r="I61" s="66">
        <v>0</v>
      </c>
      <c r="J61" s="66">
        <v>0</v>
      </c>
      <c r="K61" s="66">
        <v>0</v>
      </c>
      <c r="L61" s="66">
        <v>0</v>
      </c>
      <c r="M61" s="66">
        <v>0</v>
      </c>
      <c r="N61" s="66">
        <v>0</v>
      </c>
      <c r="O61" s="66">
        <v>0</v>
      </c>
      <c r="P61" s="67">
        <v>0</v>
      </c>
      <c r="Q61" s="68">
        <f>SUM(E61:P61)</f>
        <v>0</v>
      </c>
    </row>
    <row r="62" spans="1:17" x14ac:dyDescent="0.3">
      <c r="A62" s="373" t="s">
        <v>23</v>
      </c>
      <c r="B62" s="345">
        <v>0</v>
      </c>
      <c r="C62" s="66">
        <v>0</v>
      </c>
      <c r="D62" s="66">
        <v>0</v>
      </c>
      <c r="E62" s="66">
        <v>0</v>
      </c>
      <c r="F62" s="66">
        <v>0</v>
      </c>
      <c r="G62" s="66">
        <v>0</v>
      </c>
      <c r="H62" s="66">
        <v>0</v>
      </c>
      <c r="I62" s="66">
        <v>0</v>
      </c>
      <c r="J62" s="66">
        <v>0</v>
      </c>
      <c r="K62" s="66">
        <v>0</v>
      </c>
      <c r="L62" s="66">
        <v>0</v>
      </c>
      <c r="M62" s="66">
        <v>0</v>
      </c>
      <c r="N62" s="66">
        <v>0</v>
      </c>
      <c r="O62" s="66">
        <v>0</v>
      </c>
      <c r="P62" s="67">
        <v>0</v>
      </c>
      <c r="Q62" s="68">
        <f>SUM(E62:P62)</f>
        <v>0</v>
      </c>
    </row>
    <row r="63" spans="1:17" x14ac:dyDescent="0.3">
      <c r="A63" s="373" t="s">
        <v>397</v>
      </c>
      <c r="B63" s="361">
        <v>0</v>
      </c>
      <c r="C63" s="88">
        <v>0</v>
      </c>
      <c r="D63" s="88">
        <v>0</v>
      </c>
      <c r="E63" s="88">
        <v>0</v>
      </c>
      <c r="F63" s="88">
        <v>0</v>
      </c>
      <c r="G63" s="88">
        <f>'Cashflow '!G24</f>
        <v>47495</v>
      </c>
      <c r="H63" s="88"/>
      <c r="I63" s="88"/>
      <c r="J63" s="88"/>
      <c r="K63" s="88"/>
      <c r="L63" s="88"/>
      <c r="M63" s="88"/>
      <c r="N63" s="88"/>
      <c r="O63" s="88"/>
      <c r="P63" s="89"/>
      <c r="Q63" s="68">
        <f>SUM(B63:P63)</f>
        <v>47495</v>
      </c>
    </row>
    <row r="64" spans="1:17" x14ac:dyDescent="0.3">
      <c r="A64" s="373" t="s">
        <v>390</v>
      </c>
      <c r="B64" s="362">
        <f>'capex and accounts summary '!B15*0%/12</f>
        <v>0</v>
      </c>
      <c r="C64" s="362">
        <f>'capex and accounts summary '!C15*0%/12</f>
        <v>0</v>
      </c>
      <c r="D64" s="362">
        <f>'capex and accounts summary '!D15*0%/12</f>
        <v>0</v>
      </c>
      <c r="E64" s="362">
        <f>'capex and accounts summary '!E15*0%/12</f>
        <v>0</v>
      </c>
      <c r="F64" s="362">
        <f>'capex and accounts summary '!F15*0%/12</f>
        <v>0</v>
      </c>
      <c r="G64" s="362">
        <f>'capex and accounts summary '!G15*0%/12</f>
        <v>0</v>
      </c>
      <c r="H64" s="362">
        <f>'capex and accounts summary '!H15*0%/12</f>
        <v>0</v>
      </c>
      <c r="I64" s="362">
        <f>'capex and accounts summary '!I15*0%/12</f>
        <v>0</v>
      </c>
      <c r="J64" s="362">
        <f>'capex and accounts summary '!J15*0%/12</f>
        <v>0</v>
      </c>
      <c r="K64" s="362">
        <f>'capex and accounts summary '!K15*0%/12</f>
        <v>0</v>
      </c>
      <c r="L64" s="362">
        <f>'capex and accounts summary '!L15*0%/12</f>
        <v>0</v>
      </c>
      <c r="M64" s="362">
        <f>'capex and accounts summary '!M15*0%/12</f>
        <v>0</v>
      </c>
      <c r="N64" s="362">
        <f>'capex and accounts summary '!N15*0%/12</f>
        <v>0</v>
      </c>
      <c r="O64" s="362">
        <f>'capex and accounts summary '!O15*0%/12</f>
        <v>0</v>
      </c>
      <c r="P64" s="362">
        <f>'capex and accounts summary '!C4*8%</f>
        <v>506753.12079999998</v>
      </c>
      <c r="Q64" s="68">
        <f>SUM(E64:P64)</f>
        <v>506753.12079999998</v>
      </c>
    </row>
    <row r="65" spans="1:17" x14ac:dyDescent="0.3">
      <c r="A65" s="373" t="s">
        <v>31</v>
      </c>
      <c r="B65" s="345">
        <v>22940</v>
      </c>
      <c r="C65" s="66">
        <v>5270</v>
      </c>
      <c r="D65" s="66">
        <f>500+550</f>
        <v>1050</v>
      </c>
      <c r="E65" s="66">
        <v>22850</v>
      </c>
      <c r="F65" s="82">
        <v>24000</v>
      </c>
      <c r="G65" s="66">
        <v>24000</v>
      </c>
      <c r="H65" s="82">
        <v>84000</v>
      </c>
      <c r="I65" s="66">
        <v>24000</v>
      </c>
      <c r="J65" s="66">
        <v>24000</v>
      </c>
      <c r="K65" s="66">
        <v>24000</v>
      </c>
      <c r="L65" s="66">
        <v>24000</v>
      </c>
      <c r="M65" s="66">
        <v>24000</v>
      </c>
      <c r="N65" s="66">
        <v>24000</v>
      </c>
      <c r="O65" s="66">
        <v>24000</v>
      </c>
      <c r="P65" s="66">
        <v>24000</v>
      </c>
      <c r="Q65" s="68">
        <f>SUM(E65:P65)</f>
        <v>346850</v>
      </c>
    </row>
    <row r="66" spans="1:17" x14ac:dyDescent="0.3">
      <c r="A66" s="367" t="s">
        <v>24</v>
      </c>
      <c r="B66" s="351">
        <f>SUM(B64:B65)</f>
        <v>22940</v>
      </c>
      <c r="C66" s="63">
        <f>SUM(C64:C65)</f>
        <v>5270</v>
      </c>
      <c r="D66" s="63">
        <f>SUM(D64:D65)</f>
        <v>1050</v>
      </c>
      <c r="E66" s="63">
        <f t="shared" ref="E66:J66" si="23">SUM(E60:E65)</f>
        <v>22850</v>
      </c>
      <c r="F66" s="63">
        <f t="shared" si="23"/>
        <v>24000</v>
      </c>
      <c r="G66" s="63">
        <f t="shared" si="23"/>
        <v>71495</v>
      </c>
      <c r="H66" s="63">
        <f t="shared" si="23"/>
        <v>84000</v>
      </c>
      <c r="I66" s="63">
        <f t="shared" si="23"/>
        <v>24000</v>
      </c>
      <c r="J66" s="63">
        <f t="shared" si="23"/>
        <v>24000</v>
      </c>
      <c r="K66" s="63">
        <f t="shared" ref="K66:P66" si="24">SUM(K60:K65)</f>
        <v>24000</v>
      </c>
      <c r="L66" s="63">
        <f t="shared" si="24"/>
        <v>24000</v>
      </c>
      <c r="M66" s="63">
        <f t="shared" si="24"/>
        <v>24000</v>
      </c>
      <c r="N66" s="63">
        <f t="shared" si="24"/>
        <v>24000</v>
      </c>
      <c r="O66" s="63">
        <f t="shared" si="24"/>
        <v>24000</v>
      </c>
      <c r="P66" s="64">
        <f t="shared" si="24"/>
        <v>530753.12079999992</v>
      </c>
      <c r="Q66" s="65">
        <f>SUM(B66:P66)</f>
        <v>930358.12079999992</v>
      </c>
    </row>
    <row r="67" spans="1:17" x14ac:dyDescent="0.3">
      <c r="A67" s="367" t="s">
        <v>4</v>
      </c>
      <c r="B67" s="352">
        <f t="shared" ref="B67:P67" si="25">B66/B10</f>
        <v>0.34321998396112363</v>
      </c>
      <c r="C67" s="95">
        <f t="shared" si="25"/>
        <v>0.16188486821895925</v>
      </c>
      <c r="D67" s="95">
        <f t="shared" si="25"/>
        <v>8.068373704017473E-3</v>
      </c>
      <c r="E67" s="95">
        <f t="shared" si="25"/>
        <v>0.10748641719782676</v>
      </c>
      <c r="F67" s="95">
        <f t="shared" si="25"/>
        <v>0.10262550243735569</v>
      </c>
      <c r="G67" s="95" t="e">
        <f t="shared" si="25"/>
        <v>#DIV/0!</v>
      </c>
      <c r="H67" s="95">
        <f t="shared" si="25"/>
        <v>0.29473684210526313</v>
      </c>
      <c r="I67" s="95">
        <f t="shared" si="25"/>
        <v>7.773279352226721E-2</v>
      </c>
      <c r="J67" s="95">
        <f t="shared" si="25"/>
        <v>6.3157894736842107E-2</v>
      </c>
      <c r="K67" s="95">
        <f t="shared" si="25"/>
        <v>5.0526315789473683E-2</v>
      </c>
      <c r="L67" s="95">
        <f t="shared" si="25"/>
        <v>4.2105263157894736E-2</v>
      </c>
      <c r="M67" s="95">
        <f t="shared" si="25"/>
        <v>3.6090225563909777E-2</v>
      </c>
      <c r="N67" s="95">
        <f t="shared" si="25"/>
        <v>3.8866396761133605E-2</v>
      </c>
      <c r="O67" s="95">
        <f t="shared" si="25"/>
        <v>4.2105263157894736E-2</v>
      </c>
      <c r="P67" s="95">
        <f t="shared" si="25"/>
        <v>1.0157954465071768</v>
      </c>
      <c r="Q67" s="97">
        <f>Q66/Q12</f>
        <v>0.1633184390914508</v>
      </c>
    </row>
    <row r="68" spans="1:17" x14ac:dyDescent="0.3">
      <c r="A68" s="370" t="s">
        <v>25</v>
      </c>
      <c r="B68" s="345"/>
      <c r="C68" s="66"/>
      <c r="D68" s="66"/>
      <c r="E68" s="66"/>
      <c r="F68" s="66"/>
      <c r="G68" s="66"/>
      <c r="H68" s="66"/>
      <c r="I68" s="66"/>
      <c r="J68" s="66"/>
      <c r="K68" s="66"/>
      <c r="L68" s="66"/>
      <c r="M68" s="66"/>
      <c r="N68" s="66"/>
      <c r="O68" s="66"/>
      <c r="P68" s="67"/>
      <c r="Q68" s="68"/>
    </row>
    <row r="69" spans="1:17" x14ac:dyDescent="0.3">
      <c r="A69" s="380" t="s">
        <v>26</v>
      </c>
      <c r="B69" s="357">
        <f>B54+B66</f>
        <v>126605.00005984656</v>
      </c>
      <c r="C69" s="85">
        <f>C66+C54</f>
        <v>134126</v>
      </c>
      <c r="D69" s="85">
        <f>D66+D54</f>
        <v>191445</v>
      </c>
      <c r="E69" s="85">
        <f>E54+E66</f>
        <v>203432</v>
      </c>
      <c r="F69" s="85">
        <f t="shared" ref="F69:P69" si="26">F54+F66</f>
        <v>206687</v>
      </c>
      <c r="G69" s="85">
        <f t="shared" si="26"/>
        <v>221199</v>
      </c>
      <c r="H69" s="85">
        <f t="shared" si="26"/>
        <v>237704</v>
      </c>
      <c r="I69" s="85">
        <f t="shared" si="26"/>
        <v>177704</v>
      </c>
      <c r="J69" s="85">
        <f t="shared" si="26"/>
        <v>177704</v>
      </c>
      <c r="K69" s="85">
        <f t="shared" si="26"/>
        <v>178004</v>
      </c>
      <c r="L69" s="85">
        <f t="shared" si="26"/>
        <v>222404</v>
      </c>
      <c r="M69" s="85">
        <f t="shared" si="26"/>
        <v>208404</v>
      </c>
      <c r="N69" s="85">
        <f t="shared" si="26"/>
        <v>208404</v>
      </c>
      <c r="O69" s="85">
        <f t="shared" si="26"/>
        <v>211467</v>
      </c>
      <c r="P69" s="86">
        <f t="shared" si="26"/>
        <v>717939.87079999992</v>
      </c>
      <c r="Q69" s="87">
        <f>SUM(E69:P69)</f>
        <v>2971052.8707999997</v>
      </c>
    </row>
    <row r="70" spans="1:17" x14ac:dyDescent="0.3">
      <c r="A70" s="380" t="s">
        <v>4</v>
      </c>
      <c r="B70" s="358">
        <f>B69/B10</f>
        <v>1.894218225367855</v>
      </c>
      <c r="C70" s="92">
        <f>C69/C10</f>
        <v>4.1201081280334213</v>
      </c>
      <c r="D70" s="92">
        <f>D69/D10</f>
        <v>1.4710950512053573</v>
      </c>
      <c r="E70" s="92">
        <f t="shared" ref="E70:P70" si="27">E69/E6</f>
        <v>0.97468797163596288</v>
      </c>
      <c r="F70" s="92">
        <f t="shared" si="27"/>
        <v>0.90177574171029673</v>
      </c>
      <c r="G70" s="92" t="e">
        <f t="shared" si="27"/>
        <v>#DIV/0!</v>
      </c>
      <c r="H70" s="92">
        <f t="shared" si="27"/>
        <v>0.79234666666666664</v>
      </c>
      <c r="I70" s="92">
        <f t="shared" si="27"/>
        <v>0.54678153846153843</v>
      </c>
      <c r="J70" s="92">
        <f t="shared" si="27"/>
        <v>0.44425999999999999</v>
      </c>
      <c r="K70" s="92">
        <f t="shared" si="27"/>
        <v>0.35600799999999999</v>
      </c>
      <c r="L70" s="92">
        <f t="shared" si="27"/>
        <v>0.37067333333333335</v>
      </c>
      <c r="M70" s="92">
        <f t="shared" si="27"/>
        <v>0.29771999999999998</v>
      </c>
      <c r="N70" s="92">
        <f t="shared" si="27"/>
        <v>0.32062153846153846</v>
      </c>
      <c r="O70" s="92">
        <f t="shared" si="27"/>
        <v>0.35244500000000001</v>
      </c>
      <c r="P70" s="93">
        <f t="shared" si="27"/>
        <v>1.3053452196363635</v>
      </c>
      <c r="Q70" s="94">
        <f>Q69/Q12</f>
        <v>0.52154939745137108</v>
      </c>
    </row>
    <row r="71" spans="1:17" x14ac:dyDescent="0.3">
      <c r="A71" s="383" t="s">
        <v>27</v>
      </c>
      <c r="B71" s="363">
        <f>B10-B69</f>
        <v>-59767.40005984655</v>
      </c>
      <c r="C71" s="106">
        <f>C10-C69</f>
        <v>-101572</v>
      </c>
      <c r="D71" s="106">
        <f>D10-D69</f>
        <v>-61307.25</v>
      </c>
      <c r="E71" s="90">
        <f t="shared" ref="E71:P71" si="28">E6-E69</f>
        <v>5283</v>
      </c>
      <c r="F71" s="90">
        <f t="shared" si="28"/>
        <v>22513</v>
      </c>
      <c r="G71" s="90">
        <f t="shared" si="28"/>
        <v>-221199</v>
      </c>
      <c r="H71" s="90">
        <f t="shared" si="28"/>
        <v>62296</v>
      </c>
      <c r="I71" s="90">
        <f t="shared" si="28"/>
        <v>147296</v>
      </c>
      <c r="J71" s="90">
        <f t="shared" si="28"/>
        <v>222296</v>
      </c>
      <c r="K71" s="90">
        <f t="shared" si="28"/>
        <v>321996</v>
      </c>
      <c r="L71" s="90">
        <f t="shared" si="28"/>
        <v>377596</v>
      </c>
      <c r="M71" s="90">
        <f t="shared" si="28"/>
        <v>491596</v>
      </c>
      <c r="N71" s="90">
        <f t="shared" si="28"/>
        <v>441596</v>
      </c>
      <c r="O71" s="90">
        <f t="shared" si="28"/>
        <v>388533</v>
      </c>
      <c r="P71" s="394">
        <f t="shared" si="28"/>
        <v>-167939.87079999992</v>
      </c>
      <c r="Q71" s="91">
        <f>SUM(E71:P71)</f>
        <v>2091862.1292000001</v>
      </c>
    </row>
    <row r="72" spans="1:17" ht="14.4" thickBot="1" x14ac:dyDescent="0.35">
      <c r="A72" s="384" t="s">
        <v>4</v>
      </c>
      <c r="B72" s="364">
        <f t="shared" ref="B72:P72" si="29">B71/B10</f>
        <v>-0.894218225367855</v>
      </c>
      <c r="C72" s="107">
        <f t="shared" si="29"/>
        <v>-3.1201081280334213</v>
      </c>
      <c r="D72" s="107">
        <f t="shared" si="29"/>
        <v>-0.47109505120535738</v>
      </c>
      <c r="E72" s="108">
        <f t="shared" si="29"/>
        <v>2.4851235976197757E-2</v>
      </c>
      <c r="F72" s="108">
        <f t="shared" si="29"/>
        <v>9.6266997348841185E-2</v>
      </c>
      <c r="G72" s="108" t="e">
        <f t="shared" si="29"/>
        <v>#DIV/0!</v>
      </c>
      <c r="H72" s="108">
        <f t="shared" si="29"/>
        <v>0.21858245614035088</v>
      </c>
      <c r="I72" s="108">
        <f t="shared" si="29"/>
        <v>0.47707206477732794</v>
      </c>
      <c r="J72" s="108">
        <f t="shared" si="29"/>
        <v>0.5849894736842105</v>
      </c>
      <c r="K72" s="108">
        <f t="shared" si="29"/>
        <v>0.67788631578947367</v>
      </c>
      <c r="L72" s="108">
        <f t="shared" si="29"/>
        <v>0.66244912280701751</v>
      </c>
      <c r="M72" s="108">
        <f t="shared" si="29"/>
        <v>0.73924210526315792</v>
      </c>
      <c r="N72" s="108">
        <f t="shared" si="29"/>
        <v>0.71513522267206475</v>
      </c>
      <c r="O72" s="108">
        <f t="shared" si="29"/>
        <v>0.68163684210526321</v>
      </c>
      <c r="P72" s="107">
        <f t="shared" si="29"/>
        <v>-0.32141602066985631</v>
      </c>
      <c r="Q72" s="19">
        <f>Q71/Q12</f>
        <v>0.36721306569742457</v>
      </c>
    </row>
    <row r="76" spans="1:17" x14ac:dyDescent="0.3">
      <c r="D76" s="15"/>
      <c r="E76" s="16"/>
      <c r="L76" s="15"/>
    </row>
    <row r="77" spans="1:17" x14ac:dyDescent="0.3">
      <c r="F77" s="334"/>
      <c r="K77" s="15"/>
    </row>
    <row r="78" spans="1:17" x14ac:dyDescent="0.3">
      <c r="F78" s="15"/>
      <c r="I78" s="15"/>
      <c r="J78" s="15"/>
      <c r="K78" s="15"/>
    </row>
    <row r="79" spans="1:17" x14ac:dyDescent="0.3">
      <c r="F79" s="15"/>
      <c r="K79" s="15"/>
    </row>
    <row r="80" spans="1:17" x14ac:dyDescent="0.3">
      <c r="F80" s="15"/>
    </row>
    <row r="81" spans="6:11" x14ac:dyDescent="0.3">
      <c r="F81" s="15"/>
    </row>
    <row r="82" spans="6:11" x14ac:dyDescent="0.3">
      <c r="F82" s="15"/>
    </row>
    <row r="83" spans="6:11" x14ac:dyDescent="0.3">
      <c r="F83" s="15"/>
    </row>
    <row r="84" spans="6:11" x14ac:dyDescent="0.3">
      <c r="K84" s="15"/>
    </row>
    <row r="86" spans="6:11" x14ac:dyDescent="0.3">
      <c r="K86" s="15"/>
    </row>
  </sheetData>
  <mergeCells count="1">
    <mergeCell ref="A2:Q2"/>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8A578-383C-4EEB-94B3-8DBB17B64AE1}">
  <dimension ref="A1:M94"/>
  <sheetViews>
    <sheetView tabSelected="1" topLeftCell="B2" zoomScaleNormal="100" workbookViewId="0">
      <selection activeCell="K6" sqref="K6"/>
    </sheetView>
  </sheetViews>
  <sheetFormatPr defaultColWidth="8.6640625" defaultRowHeight="13.8" x14ac:dyDescent="0.3"/>
  <cols>
    <col min="1" max="1" width="55.5546875" style="14" bestFit="1" customWidth="1"/>
    <col min="2" max="2" width="20.77734375" style="14" bestFit="1" customWidth="1"/>
    <col min="3" max="3" width="21" style="14" bestFit="1" customWidth="1"/>
    <col min="4" max="4" width="23.6640625" style="14" bestFit="1" customWidth="1"/>
    <col min="5" max="5" width="24.5546875" style="14" bestFit="1" customWidth="1"/>
    <col min="6" max="7" width="22.6640625" style="14" bestFit="1" customWidth="1"/>
    <col min="8" max="8" width="8.6640625" style="14"/>
    <col min="9" max="9" width="11.33203125" style="14" bestFit="1" customWidth="1"/>
    <col min="10" max="10" width="12.109375" style="14" bestFit="1" customWidth="1"/>
    <col min="11" max="16384" width="8.6640625" style="14"/>
  </cols>
  <sheetData>
    <row r="1" spans="1:11" ht="15" customHeight="1" thickBot="1" x14ac:dyDescent="0.35">
      <c r="A1" s="413">
        <v>2025</v>
      </c>
      <c r="B1" s="414"/>
      <c r="C1" s="414"/>
      <c r="D1" s="414"/>
      <c r="E1" s="414"/>
      <c r="F1" s="414"/>
      <c r="G1" s="415"/>
    </row>
    <row r="2" spans="1:11" ht="15.6" x14ac:dyDescent="0.3">
      <c r="A2" s="308" t="s">
        <v>40</v>
      </c>
      <c r="B2" s="275" t="s">
        <v>218</v>
      </c>
      <c r="C2" s="288" t="s">
        <v>148</v>
      </c>
      <c r="D2" s="288" t="s">
        <v>150</v>
      </c>
      <c r="E2" s="288" t="s">
        <v>159</v>
      </c>
      <c r="F2" s="294" t="s">
        <v>230</v>
      </c>
      <c r="G2" s="168" t="s">
        <v>394</v>
      </c>
    </row>
    <row r="3" spans="1:11" ht="15" customHeight="1" x14ac:dyDescent="0.3">
      <c r="A3" s="309"/>
      <c r="B3" s="276" t="s">
        <v>219</v>
      </c>
      <c r="C3" s="276" t="s">
        <v>51</v>
      </c>
      <c r="D3" s="276" t="s">
        <v>107</v>
      </c>
      <c r="E3" s="276" t="s">
        <v>51</v>
      </c>
      <c r="F3" s="295" t="s">
        <v>51</v>
      </c>
      <c r="G3" s="169" t="s">
        <v>51</v>
      </c>
    </row>
    <row r="4" spans="1:11" x14ac:dyDescent="0.3">
      <c r="A4" s="309" t="s">
        <v>216</v>
      </c>
      <c r="B4" s="277">
        <v>311542</v>
      </c>
      <c r="C4" s="277">
        <f>B14</f>
        <v>166088</v>
      </c>
      <c r="D4" s="277">
        <f>C8-C12</f>
        <v>196423.71999999997</v>
      </c>
      <c r="E4" s="277">
        <f>D14</f>
        <v>210619.71999999997</v>
      </c>
      <c r="F4" s="296">
        <f>E15</f>
        <v>139416</v>
      </c>
      <c r="G4" s="170">
        <f>F15</f>
        <v>248910</v>
      </c>
      <c r="H4" s="16"/>
      <c r="I4" s="16"/>
    </row>
    <row r="5" spans="1:11" x14ac:dyDescent="0.3">
      <c r="A5" s="309" t="s">
        <v>221</v>
      </c>
      <c r="B5" s="277">
        <v>0</v>
      </c>
      <c r="C5" s="277">
        <f>'[2]FEB 25'!$L$33</f>
        <v>5859.72</v>
      </c>
      <c r="D5" s="277">
        <v>38414</v>
      </c>
      <c r="E5" s="277">
        <f>'[2]April 25 '!$L$33</f>
        <v>250490.30000000002</v>
      </c>
      <c r="F5" s="296">
        <f>'[2]May 25'!$M$24</f>
        <v>93491.8</v>
      </c>
      <c r="G5" s="170">
        <f>'[3]June 25'!$M$26</f>
        <v>12106.8</v>
      </c>
    </row>
    <row r="6" spans="1:11" x14ac:dyDescent="0.3">
      <c r="A6" s="309" t="s">
        <v>228</v>
      </c>
      <c r="B6" s="277">
        <v>0</v>
      </c>
      <c r="C6" s="277">
        <v>0</v>
      </c>
      <c r="D6" s="277">
        <v>7134</v>
      </c>
      <c r="E6" s="277">
        <f>'[2]March 25'!$L$11</f>
        <v>11282.865</v>
      </c>
      <c r="F6" s="296">
        <f>'[2]April 25 '!$M$11+'[2]April 25 '!$M$10+'[2]April 25 '!$M$8</f>
        <v>77059.899999999994</v>
      </c>
      <c r="G6" s="170">
        <v>0</v>
      </c>
    </row>
    <row r="7" spans="1:11" x14ac:dyDescent="0.3">
      <c r="A7" s="309" t="s">
        <v>229</v>
      </c>
      <c r="B7" s="277">
        <v>0</v>
      </c>
      <c r="C7" s="277">
        <v>264000</v>
      </c>
      <c r="D7" s="277">
        <f>150000+100000+41600</f>
        <v>291600</v>
      </c>
      <c r="E7" s="277">
        <f>50000+75000+150000+150000</f>
        <v>425000</v>
      </c>
      <c r="F7" s="296">
        <f>186000+150000+100000+100000+81500+50000+30000</f>
        <v>697500</v>
      </c>
      <c r="G7" s="170">
        <v>0</v>
      </c>
    </row>
    <row r="8" spans="1:11" x14ac:dyDescent="0.3">
      <c r="A8" s="310" t="s">
        <v>226</v>
      </c>
      <c r="B8" s="278">
        <f t="shared" ref="B8:G8" si="0">SUM(B4:B7)</f>
        <v>311542</v>
      </c>
      <c r="C8" s="278">
        <f t="shared" si="0"/>
        <v>435947.72</v>
      </c>
      <c r="D8" s="278">
        <f t="shared" si="0"/>
        <v>533571.72</v>
      </c>
      <c r="E8" s="278">
        <f t="shared" si="0"/>
        <v>897392.88500000001</v>
      </c>
      <c r="F8" s="297">
        <f t="shared" si="0"/>
        <v>1007467.7</v>
      </c>
      <c r="G8" s="171">
        <f t="shared" si="0"/>
        <v>261016.8</v>
      </c>
    </row>
    <row r="9" spans="1:11" x14ac:dyDescent="0.3">
      <c r="A9" s="311" t="s">
        <v>157</v>
      </c>
      <c r="B9" s="279">
        <f t="shared" ref="B9:G9" si="1">B30</f>
        <v>83518</v>
      </c>
      <c r="C9" s="279">
        <f t="shared" si="1"/>
        <v>31716</v>
      </c>
      <c r="D9" s="279">
        <f t="shared" si="1"/>
        <v>52908</v>
      </c>
      <c r="E9" s="279">
        <f t="shared" si="1"/>
        <v>128077</v>
      </c>
      <c r="F9" s="298">
        <f t="shared" si="1"/>
        <v>326798</v>
      </c>
      <c r="G9" s="172">
        <f t="shared" si="1"/>
        <v>266966</v>
      </c>
      <c r="I9" s="16"/>
      <c r="K9" s="16"/>
    </row>
    <row r="10" spans="1:11" x14ac:dyDescent="0.3">
      <c r="A10" s="311" t="s">
        <v>156</v>
      </c>
      <c r="B10" s="279">
        <f t="shared" ref="B10:G10" si="2">B50</f>
        <v>61936</v>
      </c>
      <c r="C10" s="279">
        <f t="shared" si="2"/>
        <v>207808</v>
      </c>
      <c r="D10" s="279">
        <f t="shared" si="2"/>
        <v>270044</v>
      </c>
      <c r="E10" s="279">
        <f t="shared" si="2"/>
        <v>589266</v>
      </c>
      <c r="F10" s="298">
        <f t="shared" si="2"/>
        <v>458593</v>
      </c>
      <c r="G10" s="172">
        <f>G50</f>
        <v>32766</v>
      </c>
      <c r="I10" s="16"/>
      <c r="K10" s="16"/>
    </row>
    <row r="11" spans="1:11" x14ac:dyDescent="0.3">
      <c r="A11" s="310" t="s">
        <v>227</v>
      </c>
      <c r="B11" s="278">
        <f t="shared" ref="B11:G11" si="3">SUM(B9:B10)</f>
        <v>145454</v>
      </c>
      <c r="C11" s="278">
        <f t="shared" si="3"/>
        <v>239524</v>
      </c>
      <c r="D11" s="278">
        <f t="shared" si="3"/>
        <v>322952</v>
      </c>
      <c r="E11" s="278">
        <f t="shared" si="3"/>
        <v>717343</v>
      </c>
      <c r="F11" s="297">
        <f>F30+F50</f>
        <v>785391</v>
      </c>
      <c r="G11" s="171">
        <f>SUM(G9:G10)</f>
        <v>299732</v>
      </c>
      <c r="I11" s="16"/>
      <c r="J11" s="16"/>
    </row>
    <row r="12" spans="1:11" x14ac:dyDescent="0.3">
      <c r="A12" s="311" t="s">
        <v>70</v>
      </c>
      <c r="B12" s="279">
        <f>B11</f>
        <v>145454</v>
      </c>
      <c r="C12" s="279">
        <f>C11</f>
        <v>239524</v>
      </c>
      <c r="D12" s="279">
        <f>D11</f>
        <v>322952</v>
      </c>
      <c r="E12" s="279">
        <f>E30+E50-E44</f>
        <v>717343</v>
      </c>
      <c r="F12" s="298">
        <f>F11</f>
        <v>785391</v>
      </c>
      <c r="G12" s="172">
        <f>G43+G20+G21+G29</f>
        <v>77324</v>
      </c>
      <c r="I12" s="16"/>
    </row>
    <row r="13" spans="1:11" x14ac:dyDescent="0.3">
      <c r="A13" s="312" t="s">
        <v>223</v>
      </c>
      <c r="B13" s="280"/>
      <c r="C13" s="280"/>
      <c r="D13" s="280"/>
      <c r="E13" s="280">
        <f>E44</f>
        <v>0</v>
      </c>
      <c r="F13" s="299">
        <f>F11-F12</f>
        <v>0</v>
      </c>
      <c r="G13" s="173">
        <f>G11-G12</f>
        <v>222408</v>
      </c>
      <c r="I13" s="16"/>
    </row>
    <row r="14" spans="1:11" x14ac:dyDescent="0.3">
      <c r="A14" s="310" t="s">
        <v>158</v>
      </c>
      <c r="B14" s="278">
        <f>B4-B12</f>
        <v>166088</v>
      </c>
      <c r="C14" s="278">
        <f>C8-C12</f>
        <v>196423.71999999997</v>
      </c>
      <c r="D14" s="278">
        <f>D8-D12</f>
        <v>210619.71999999997</v>
      </c>
      <c r="E14" s="278">
        <f>E8-E12</f>
        <v>180049.88500000001</v>
      </c>
      <c r="F14" s="297">
        <f>F8-F12</f>
        <v>222076.69999999995</v>
      </c>
      <c r="G14" s="171">
        <f>G8-G12</f>
        <v>183692.79999999999</v>
      </c>
      <c r="H14" s="16"/>
      <c r="J14" s="16"/>
    </row>
    <row r="15" spans="1:11" x14ac:dyDescent="0.3">
      <c r="A15" s="313" t="s">
        <v>251</v>
      </c>
      <c r="B15" s="281"/>
      <c r="C15" s="281"/>
      <c r="D15" s="281"/>
      <c r="E15" s="281">
        <f>143728-4312</f>
        <v>139416</v>
      </c>
      <c r="F15" s="300">
        <v>248910</v>
      </c>
      <c r="G15" s="189">
        <v>184305</v>
      </c>
      <c r="H15" s="16"/>
      <c r="I15" s="16"/>
      <c r="J15" s="16"/>
    </row>
    <row r="16" spans="1:11" x14ac:dyDescent="0.3">
      <c r="A16" s="310" t="s">
        <v>385</v>
      </c>
      <c r="B16" s="278"/>
      <c r="C16" s="278"/>
      <c r="D16" s="278"/>
      <c r="E16" s="398">
        <f>E15-E14</f>
        <v>-40633.885000000009</v>
      </c>
      <c r="F16" s="297">
        <f>F15-F14</f>
        <v>26833.300000000047</v>
      </c>
      <c r="G16" s="171"/>
      <c r="H16" s="16"/>
    </row>
    <row r="17" spans="1:13" x14ac:dyDescent="0.3">
      <c r="A17" s="314" t="s">
        <v>43</v>
      </c>
      <c r="B17" s="282"/>
      <c r="C17" s="289"/>
      <c r="D17" s="293"/>
      <c r="E17" s="293"/>
      <c r="F17" s="301"/>
      <c r="G17" s="174"/>
      <c r="I17" s="16"/>
    </row>
    <row r="18" spans="1:13" x14ac:dyDescent="0.3">
      <c r="A18" s="315" t="s">
        <v>217</v>
      </c>
      <c r="B18" s="283"/>
      <c r="C18" s="279"/>
      <c r="D18" s="279"/>
      <c r="E18" s="279"/>
      <c r="F18" s="298"/>
      <c r="G18" s="172"/>
      <c r="I18" s="16"/>
      <c r="J18" s="16"/>
    </row>
    <row r="19" spans="1:13" ht="14.4" x14ac:dyDescent="0.3">
      <c r="A19" s="316" t="s">
        <v>164</v>
      </c>
      <c r="B19" s="284">
        <v>4950</v>
      </c>
      <c r="C19" s="279">
        <v>4950</v>
      </c>
      <c r="D19" s="279">
        <v>4950</v>
      </c>
      <c r="E19" s="279">
        <v>4950</v>
      </c>
      <c r="F19" s="298">
        <v>4950</v>
      </c>
      <c r="G19" s="172">
        <v>4950</v>
      </c>
      <c r="H19" s="16"/>
      <c r="I19" s="16"/>
      <c r="J19" s="390"/>
      <c r="K19" s="16"/>
      <c r="M19" s="16"/>
    </row>
    <row r="20" spans="1:13" x14ac:dyDescent="0.3">
      <c r="A20" s="316" t="s">
        <v>214</v>
      </c>
      <c r="B20" s="284">
        <v>45000</v>
      </c>
      <c r="C20" s="279">
        <f>(27000/30)*4</f>
        <v>3600</v>
      </c>
      <c r="D20" s="279">
        <v>24000</v>
      </c>
      <c r="E20" s="279">
        <f>27000+500-200</f>
        <v>27300</v>
      </c>
      <c r="F20" s="298">
        <f>27000-200</f>
        <v>26800</v>
      </c>
      <c r="G20" s="416">
        <f>(27000/30*26)-200</f>
        <v>23200</v>
      </c>
      <c r="H20" s="16"/>
      <c r="I20" s="16"/>
    </row>
    <row r="21" spans="1:13" x14ac:dyDescent="0.3">
      <c r="A21" s="316" t="s">
        <v>215</v>
      </c>
      <c r="B21" s="284">
        <v>0</v>
      </c>
      <c r="C21" s="279">
        <v>0</v>
      </c>
      <c r="D21" s="279">
        <v>0</v>
      </c>
      <c r="E21" s="279">
        <f>50000</f>
        <v>50000</v>
      </c>
      <c r="F21" s="298">
        <f>50000</f>
        <v>50000</v>
      </c>
      <c r="G21" s="416">
        <f>50000</f>
        <v>50000</v>
      </c>
      <c r="J21" s="16"/>
    </row>
    <row r="22" spans="1:13" x14ac:dyDescent="0.3">
      <c r="A22" s="316" t="s">
        <v>167</v>
      </c>
      <c r="B22" s="284">
        <v>0</v>
      </c>
      <c r="C22" s="279">
        <v>3500</v>
      </c>
      <c r="D22" s="279">
        <v>3500</v>
      </c>
      <c r="E22" s="279">
        <v>3500</v>
      </c>
      <c r="F22" s="298">
        <v>3500</v>
      </c>
      <c r="G22" s="172">
        <v>3500</v>
      </c>
      <c r="I22" s="16"/>
      <c r="J22" s="16"/>
    </row>
    <row r="23" spans="1:13" x14ac:dyDescent="0.3">
      <c r="A23" s="316" t="s">
        <v>166</v>
      </c>
      <c r="B23" s="284">
        <v>7601</v>
      </c>
      <c r="C23" s="279">
        <f>4729</f>
        <v>4729</v>
      </c>
      <c r="D23" s="279">
        <v>6444</v>
      </c>
      <c r="E23" s="279">
        <v>9709</v>
      </c>
      <c r="F23" s="298">
        <v>10971</v>
      </c>
      <c r="G23" s="172">
        <v>10971</v>
      </c>
      <c r="I23" s="16"/>
      <c r="K23" s="16"/>
    </row>
    <row r="24" spans="1:13" x14ac:dyDescent="0.3">
      <c r="A24" s="316" t="s">
        <v>393</v>
      </c>
      <c r="B24" s="284"/>
      <c r="C24" s="279"/>
      <c r="D24" s="279"/>
      <c r="E24" s="279"/>
      <c r="F24" s="298"/>
      <c r="G24" s="172">
        <f>47495</f>
        <v>47495</v>
      </c>
      <c r="J24" s="16"/>
    </row>
    <row r="25" spans="1:13" x14ac:dyDescent="0.3">
      <c r="A25" s="316" t="s">
        <v>151</v>
      </c>
      <c r="B25" s="284">
        <v>200</v>
      </c>
      <c r="C25" s="279">
        <f>320+520</f>
        <v>840</v>
      </c>
      <c r="D25" s="279">
        <v>320</v>
      </c>
      <c r="E25" s="279">
        <v>500</v>
      </c>
      <c r="F25" s="298">
        <v>150000</v>
      </c>
      <c r="G25" s="172">
        <v>100000</v>
      </c>
      <c r="I25" s="16"/>
      <c r="J25" s="16"/>
    </row>
    <row r="26" spans="1:13" x14ac:dyDescent="0.3">
      <c r="A26" s="316" t="s">
        <v>153</v>
      </c>
      <c r="B26" s="284">
        <v>827</v>
      </c>
      <c r="C26" s="279">
        <v>827</v>
      </c>
      <c r="D26" s="279">
        <v>827</v>
      </c>
      <c r="E26" s="279">
        <v>850</v>
      </c>
      <c r="F26" s="298">
        <v>827</v>
      </c>
      <c r="G26" s="172">
        <v>850</v>
      </c>
      <c r="I26" s="16"/>
    </row>
    <row r="27" spans="1:13" x14ac:dyDescent="0.3">
      <c r="A27" s="316" t="s">
        <v>152</v>
      </c>
      <c r="B27" s="284">
        <v>22940</v>
      </c>
      <c r="C27" s="279">
        <v>5270</v>
      </c>
      <c r="D27" s="279">
        <v>6400</v>
      </c>
      <c r="E27" s="279">
        <v>27280</v>
      </c>
      <c r="F27" s="298">
        <v>73750</v>
      </c>
      <c r="G27" s="172">
        <v>24000</v>
      </c>
      <c r="H27" s="16"/>
      <c r="J27" s="16"/>
    </row>
    <row r="28" spans="1:13" x14ac:dyDescent="0.3">
      <c r="A28" s="316" t="s">
        <v>259</v>
      </c>
      <c r="B28" s="284">
        <v>0</v>
      </c>
      <c r="C28" s="284">
        <v>0</v>
      </c>
      <c r="D28" s="284">
        <v>0</v>
      </c>
      <c r="E28" s="284">
        <v>0</v>
      </c>
      <c r="F28" s="284">
        <v>0</v>
      </c>
      <c r="G28" s="284">
        <v>0</v>
      </c>
      <c r="H28" s="16"/>
      <c r="J28" s="16"/>
    </row>
    <row r="29" spans="1:13" x14ac:dyDescent="0.3">
      <c r="A29" s="316" t="s">
        <v>220</v>
      </c>
      <c r="B29" s="284">
        <v>2000</v>
      </c>
      <c r="C29" s="279">
        <v>8000</v>
      </c>
      <c r="D29" s="279">
        <v>6467</v>
      </c>
      <c r="E29" s="279">
        <f>2988+1000</f>
        <v>3988</v>
      </c>
      <c r="F29" s="298">
        <v>6000</v>
      </c>
      <c r="G29" s="416">
        <v>2000</v>
      </c>
      <c r="H29" s="16"/>
      <c r="J29" s="16"/>
    </row>
    <row r="30" spans="1:13" x14ac:dyDescent="0.3">
      <c r="A30" s="310" t="s">
        <v>155</v>
      </c>
      <c r="B30" s="278">
        <f>SUM(B19:B29)</f>
        <v>83518</v>
      </c>
      <c r="C30" s="278">
        <f>SUM(C19:C29)</f>
        <v>31716</v>
      </c>
      <c r="D30" s="278">
        <f>SUM(D19:D29)</f>
        <v>52908</v>
      </c>
      <c r="E30" s="278">
        <f>SUM(E19:E29)</f>
        <v>128077</v>
      </c>
      <c r="F30" s="297">
        <f>SUM(F19:F29)</f>
        <v>326798</v>
      </c>
      <c r="G30" s="171">
        <f>SUM(G19:G29)</f>
        <v>266966</v>
      </c>
      <c r="H30" s="16"/>
      <c r="I30" s="16"/>
      <c r="J30" s="16"/>
    </row>
    <row r="31" spans="1:13" x14ac:dyDescent="0.3">
      <c r="A31" s="315" t="s">
        <v>163</v>
      </c>
      <c r="B31" s="283"/>
      <c r="C31" s="290"/>
      <c r="D31" s="290"/>
      <c r="E31" s="290"/>
      <c r="F31" s="302"/>
      <c r="G31" s="175"/>
      <c r="H31" s="16"/>
    </row>
    <row r="32" spans="1:13" x14ac:dyDescent="0.3">
      <c r="A32" s="315" t="s">
        <v>154</v>
      </c>
      <c r="B32" s="283"/>
      <c r="C32" s="290"/>
      <c r="D32" s="290"/>
      <c r="E32" s="290"/>
      <c r="F32" s="302"/>
      <c r="G32" s="175"/>
      <c r="H32" s="16"/>
    </row>
    <row r="33" spans="1:9" x14ac:dyDescent="0.3">
      <c r="A33" s="317" t="s">
        <v>161</v>
      </c>
      <c r="B33" s="285">
        <v>0</v>
      </c>
      <c r="C33" s="291">
        <v>50650</v>
      </c>
      <c r="D33" s="291">
        <v>70000</v>
      </c>
      <c r="E33" s="291">
        <v>100000</v>
      </c>
      <c r="F33" s="303">
        <v>0</v>
      </c>
      <c r="G33" s="176">
        <v>0</v>
      </c>
      <c r="H33" s="16"/>
    </row>
    <row r="34" spans="1:9" x14ac:dyDescent="0.3">
      <c r="A34" s="317" t="s">
        <v>248</v>
      </c>
      <c r="B34" s="285">
        <v>0</v>
      </c>
      <c r="C34" s="291">
        <v>0</v>
      </c>
      <c r="D34" s="291">
        <v>0</v>
      </c>
      <c r="E34" s="291">
        <f>1012</f>
        <v>1012</v>
      </c>
      <c r="F34" s="303">
        <v>0</v>
      </c>
      <c r="G34" s="176">
        <v>0</v>
      </c>
      <c r="H34" s="16"/>
    </row>
    <row r="35" spans="1:9" x14ac:dyDescent="0.3">
      <c r="A35" s="317" t="s">
        <v>247</v>
      </c>
      <c r="B35" s="285"/>
      <c r="C35" s="291"/>
      <c r="D35" s="291"/>
      <c r="E35" s="291">
        <f>14602+4312</f>
        <v>18914</v>
      </c>
      <c r="F35" s="303">
        <f>8678</f>
        <v>8678</v>
      </c>
      <c r="G35" s="176">
        <v>0</v>
      </c>
    </row>
    <row r="36" spans="1:9" x14ac:dyDescent="0.3">
      <c r="A36" s="317" t="s">
        <v>392</v>
      </c>
      <c r="B36" s="285">
        <v>0</v>
      </c>
      <c r="C36" s="291">
        <v>0</v>
      </c>
      <c r="D36" s="291">
        <v>0</v>
      </c>
      <c r="E36" s="291">
        <v>0</v>
      </c>
      <c r="F36" s="303">
        <f>1650+2750</f>
        <v>4400</v>
      </c>
      <c r="G36" s="176">
        <v>0</v>
      </c>
    </row>
    <row r="37" spans="1:9" x14ac:dyDescent="0.3">
      <c r="A37" s="317" t="s">
        <v>249</v>
      </c>
      <c r="B37" s="285"/>
      <c r="C37" s="291"/>
      <c r="D37" s="291"/>
      <c r="E37" s="291">
        <v>4514</v>
      </c>
      <c r="F37" s="303">
        <v>0</v>
      </c>
      <c r="G37" s="176">
        <v>0</v>
      </c>
    </row>
    <row r="38" spans="1:9" x14ac:dyDescent="0.3">
      <c r="A38" s="317" t="s">
        <v>250</v>
      </c>
      <c r="B38" s="285"/>
      <c r="C38" s="291"/>
      <c r="D38" s="291"/>
      <c r="E38" s="291">
        <v>20000</v>
      </c>
      <c r="F38" s="303">
        <v>0</v>
      </c>
      <c r="G38" s="176">
        <v>0</v>
      </c>
    </row>
    <row r="39" spans="1:9" x14ac:dyDescent="0.3">
      <c r="A39" s="317" t="s">
        <v>388</v>
      </c>
      <c r="B39" s="285">
        <v>0</v>
      </c>
      <c r="C39" s="291">
        <v>0</v>
      </c>
      <c r="D39" s="291">
        <v>0</v>
      </c>
      <c r="E39" s="291">
        <f>11399+11269</f>
        <v>22668</v>
      </c>
      <c r="F39" s="303">
        <f>29741+1935+(2513*2)</f>
        <v>36702</v>
      </c>
      <c r="G39" s="176">
        <v>0</v>
      </c>
    </row>
    <row r="40" spans="1:9" x14ac:dyDescent="0.3">
      <c r="A40" s="317" t="s">
        <v>165</v>
      </c>
      <c r="B40" s="285">
        <f>'PnL Jan 25 to Mar 26'!B19</f>
        <v>57286</v>
      </c>
      <c r="C40" s="291">
        <f>'PnL Jan 25 to Mar 26'!C19</f>
        <v>56050</v>
      </c>
      <c r="D40" s="291">
        <v>49232</v>
      </c>
      <c r="E40" s="291">
        <v>49248</v>
      </c>
      <c r="F40" s="303">
        <f>'PnL Jan 25 to Mar 26'!E19</f>
        <v>39580</v>
      </c>
      <c r="G40" s="176">
        <f>'PnL Jan 25 to Mar 26'!F19</f>
        <v>30642</v>
      </c>
      <c r="I40" s="190"/>
    </row>
    <row r="41" spans="1:9" x14ac:dyDescent="0.3">
      <c r="A41" s="317" t="s">
        <v>168</v>
      </c>
      <c r="B41" s="285">
        <v>0</v>
      </c>
      <c r="C41" s="291">
        <v>0</v>
      </c>
      <c r="D41" s="291">
        <v>41600</v>
      </c>
      <c r="E41" s="291">
        <v>0</v>
      </c>
      <c r="F41" s="303">
        <v>0</v>
      </c>
      <c r="G41" s="176">
        <v>0</v>
      </c>
      <c r="H41" s="16"/>
    </row>
    <row r="42" spans="1:9" x14ac:dyDescent="0.3">
      <c r="A42" s="317" t="s">
        <v>149</v>
      </c>
      <c r="B42" s="285">
        <v>0</v>
      </c>
      <c r="C42" s="291">
        <v>66000</v>
      </c>
      <c r="D42" s="291">
        <v>50000</v>
      </c>
      <c r="E42" s="291">
        <v>50000</v>
      </c>
      <c r="F42" s="304">
        <v>0</v>
      </c>
      <c r="G42" s="177">
        <v>0</v>
      </c>
    </row>
    <row r="43" spans="1:9" x14ac:dyDescent="0.3">
      <c r="A43" s="317" t="s">
        <v>116</v>
      </c>
      <c r="B43" s="285"/>
      <c r="C43" s="291"/>
      <c r="D43" s="291"/>
      <c r="E43" s="291">
        <v>2014</v>
      </c>
      <c r="F43" s="304"/>
      <c r="G43" s="177">
        <v>2124</v>
      </c>
    </row>
    <row r="44" spans="1:9" x14ac:dyDescent="0.3">
      <c r="A44" s="317" t="s">
        <v>253</v>
      </c>
      <c r="B44" s="285">
        <f>'PnL Jan 25 to Mar 26'!B41</f>
        <v>4650</v>
      </c>
      <c r="C44" s="291">
        <f>'PnL Jan 25 to Mar 26'!C41</f>
        <v>10108</v>
      </c>
      <c r="D44" s="291">
        <f>'PnL Jan 25 to Mar 26'!D41</f>
        <v>7000</v>
      </c>
      <c r="E44" s="307">
        <v>0</v>
      </c>
      <c r="F44" s="303">
        <v>7000</v>
      </c>
      <c r="G44" s="177">
        <v>0</v>
      </c>
    </row>
    <row r="45" spans="1:9" x14ac:dyDescent="0.3">
      <c r="A45" s="317" t="s">
        <v>252</v>
      </c>
      <c r="B45" s="285"/>
      <c r="C45" s="291"/>
      <c r="D45" s="291"/>
      <c r="E45" s="291">
        <v>421</v>
      </c>
      <c r="F45" s="303">
        <v>24801</v>
      </c>
      <c r="G45" s="177"/>
    </row>
    <row r="46" spans="1:9" x14ac:dyDescent="0.3">
      <c r="A46" s="317" t="s">
        <v>186</v>
      </c>
      <c r="B46" s="285">
        <v>0</v>
      </c>
      <c r="C46" s="291">
        <v>0</v>
      </c>
      <c r="D46" s="291">
        <v>13542</v>
      </c>
      <c r="E46" s="291">
        <v>0</v>
      </c>
      <c r="F46" s="303">
        <v>0</v>
      </c>
      <c r="G46" s="176">
        <v>0</v>
      </c>
    </row>
    <row r="47" spans="1:9" x14ac:dyDescent="0.3">
      <c r="A47" s="317" t="s">
        <v>236</v>
      </c>
      <c r="B47" s="285">
        <v>0</v>
      </c>
      <c r="C47" s="291">
        <v>0</v>
      </c>
      <c r="D47" s="291">
        <v>0</v>
      </c>
      <c r="E47" s="291">
        <f>200000+69000</f>
        <v>269000</v>
      </c>
      <c r="F47" s="303">
        <f>200000+137432</f>
        <v>337432</v>
      </c>
      <c r="G47" s="176">
        <v>0</v>
      </c>
    </row>
    <row r="48" spans="1:9" x14ac:dyDescent="0.3">
      <c r="A48" s="317" t="s">
        <v>386</v>
      </c>
      <c r="B48" s="285"/>
      <c r="C48" s="291"/>
      <c r="D48" s="291">
        <v>13670</v>
      </c>
      <c r="E48" s="291">
        <v>1475</v>
      </c>
      <c r="F48" s="303">
        <v>0</v>
      </c>
      <c r="G48" s="176">
        <v>0</v>
      </c>
    </row>
    <row r="49" spans="1:8" x14ac:dyDescent="0.3">
      <c r="A49" s="317" t="s">
        <v>162</v>
      </c>
      <c r="B49" s="285">
        <v>0</v>
      </c>
      <c r="C49" s="291">
        <v>25000</v>
      </c>
      <c r="D49" s="291">
        <v>25000</v>
      </c>
      <c r="E49" s="291">
        <v>50000</v>
      </c>
      <c r="F49" s="303">
        <v>0</v>
      </c>
      <c r="G49" s="176">
        <v>0</v>
      </c>
      <c r="H49" s="16"/>
    </row>
    <row r="50" spans="1:8" x14ac:dyDescent="0.3">
      <c r="A50" s="318" t="s">
        <v>0</v>
      </c>
      <c r="B50" s="286">
        <f t="shared" ref="B50:G50" si="4">SUM(B33:B49)</f>
        <v>61936</v>
      </c>
      <c r="C50" s="286">
        <f t="shared" si="4"/>
        <v>207808</v>
      </c>
      <c r="D50" s="286">
        <f t="shared" si="4"/>
        <v>270044</v>
      </c>
      <c r="E50" s="286">
        <f t="shared" si="4"/>
        <v>589266</v>
      </c>
      <c r="F50" s="305">
        <f>SUM(F32:F49)</f>
        <v>458593</v>
      </c>
      <c r="G50" s="178">
        <f t="shared" si="4"/>
        <v>32766</v>
      </c>
    </row>
    <row r="51" spans="1:8" ht="14.4" thickBot="1" x14ac:dyDescent="0.35">
      <c r="A51" s="319" t="s">
        <v>187</v>
      </c>
      <c r="B51" s="287">
        <f>B14</f>
        <v>166088</v>
      </c>
      <c r="C51" s="292">
        <f>C30+C50</f>
        <v>239524</v>
      </c>
      <c r="D51" s="292">
        <f>D30+D50</f>
        <v>322952</v>
      </c>
      <c r="E51" s="292">
        <f>E30+E50</f>
        <v>717343</v>
      </c>
      <c r="F51" s="306">
        <f>F30+F50</f>
        <v>785391</v>
      </c>
      <c r="G51" s="179">
        <f>G30+G50</f>
        <v>299732</v>
      </c>
    </row>
    <row r="52" spans="1:8" x14ac:dyDescent="0.3">
      <c r="C52" s="16"/>
      <c r="D52" s="16"/>
      <c r="E52" s="16"/>
    </row>
    <row r="53" spans="1:8" x14ac:dyDescent="0.3">
      <c r="D53" s="16"/>
      <c r="E53" s="16"/>
      <c r="F53" s="16"/>
    </row>
    <row r="54" spans="1:8" x14ac:dyDescent="0.3">
      <c r="C54" s="16"/>
      <c r="D54" s="16"/>
      <c r="G54" s="16"/>
    </row>
    <row r="55" spans="1:8" x14ac:dyDescent="0.3">
      <c r="C55" s="16"/>
      <c r="D55" s="16"/>
      <c r="E55" s="16"/>
      <c r="F55" s="16"/>
    </row>
    <row r="56" spans="1:8" x14ac:dyDescent="0.3">
      <c r="C56" s="16"/>
      <c r="E56" s="16"/>
      <c r="F56" s="16"/>
    </row>
    <row r="57" spans="1:8" x14ac:dyDescent="0.3">
      <c r="B57" s="391"/>
      <c r="D57" s="16"/>
      <c r="F57" s="16"/>
    </row>
    <row r="58" spans="1:8" x14ac:dyDescent="0.3">
      <c r="F58" s="16"/>
    </row>
    <row r="59" spans="1:8" x14ac:dyDescent="0.3">
      <c r="B59" s="15"/>
      <c r="F59" s="16"/>
    </row>
    <row r="60" spans="1:8" x14ac:dyDescent="0.3">
      <c r="B60" s="15"/>
      <c r="C60" s="392"/>
      <c r="F60" s="15"/>
    </row>
    <row r="61" spans="1:8" x14ac:dyDescent="0.3">
      <c r="B61" s="15"/>
      <c r="E61" s="16"/>
      <c r="F61" s="16"/>
    </row>
    <row r="63" spans="1:8" x14ac:dyDescent="0.3">
      <c r="F63" s="16"/>
    </row>
    <row r="67" spans="4:8" x14ac:dyDescent="0.3">
      <c r="D67" s="191" t="s">
        <v>243</v>
      </c>
      <c r="E67" s="192"/>
      <c r="F67" s="192"/>
      <c r="G67" s="192"/>
      <c r="H67" s="192"/>
    </row>
    <row r="68" spans="4:8" x14ac:dyDescent="0.3">
      <c r="D68" s="192" t="s">
        <v>237</v>
      </c>
      <c r="E68" s="192">
        <v>1350</v>
      </c>
      <c r="F68" s="192"/>
      <c r="G68" s="192"/>
      <c r="H68" s="192"/>
    </row>
    <row r="69" spans="4:8" x14ac:dyDescent="0.3">
      <c r="D69" s="192" t="s">
        <v>238</v>
      </c>
      <c r="E69" s="192">
        <v>1350</v>
      </c>
      <c r="F69" s="192"/>
      <c r="G69" s="192"/>
      <c r="H69" s="192"/>
    </row>
    <row r="70" spans="4:8" x14ac:dyDescent="0.3">
      <c r="D70" s="192" t="s">
        <v>237</v>
      </c>
      <c r="E70" s="192">
        <v>2345</v>
      </c>
      <c r="F70" s="192"/>
      <c r="G70" s="192"/>
      <c r="H70" s="192"/>
    </row>
    <row r="71" spans="4:8" x14ac:dyDescent="0.3">
      <c r="D71" s="192" t="s">
        <v>239</v>
      </c>
      <c r="E71" s="192">
        <v>5900</v>
      </c>
      <c r="F71" s="192"/>
      <c r="G71" s="192"/>
      <c r="H71" s="192"/>
    </row>
    <row r="72" spans="4:8" x14ac:dyDescent="0.3">
      <c r="D72" s="192" t="s">
        <v>240</v>
      </c>
      <c r="E72" s="192">
        <v>2645</v>
      </c>
      <c r="F72" s="192"/>
      <c r="G72" s="192"/>
      <c r="H72" s="192"/>
    </row>
    <row r="73" spans="4:8" x14ac:dyDescent="0.3">
      <c r="D73" s="192" t="s">
        <v>241</v>
      </c>
      <c r="E73" s="192">
        <v>500</v>
      </c>
      <c r="F73" s="192"/>
      <c r="G73" s="192"/>
      <c r="H73" s="192">
        <v>2250</v>
      </c>
    </row>
    <row r="74" spans="4:8" x14ac:dyDescent="0.3">
      <c r="D74" s="192" t="s">
        <v>242</v>
      </c>
      <c r="E74" s="192">
        <v>512</v>
      </c>
      <c r="F74" s="192"/>
      <c r="G74" s="192"/>
      <c r="H74" s="192">
        <v>1012</v>
      </c>
    </row>
    <row r="75" spans="4:8" x14ac:dyDescent="0.3">
      <c r="D75" s="192" t="s">
        <v>258</v>
      </c>
      <c r="E75" s="192">
        <v>8678</v>
      </c>
      <c r="F75" s="192"/>
      <c r="G75" s="192"/>
      <c r="H75" s="192"/>
    </row>
    <row r="76" spans="4:8" x14ac:dyDescent="0.3">
      <c r="D76" s="192" t="s">
        <v>246</v>
      </c>
      <c r="E76" s="192">
        <v>20000</v>
      </c>
      <c r="F76" s="192">
        <f>E78-E69-E73-E74</f>
        <v>40918</v>
      </c>
      <c r="G76" s="192"/>
      <c r="H76" s="192">
        <v>20000</v>
      </c>
    </row>
    <row r="77" spans="4:8" x14ac:dyDescent="0.3">
      <c r="D77" s="192" t="s">
        <v>254</v>
      </c>
      <c r="E77" s="192">
        <f>1141+3171</f>
        <v>4312</v>
      </c>
      <c r="F77" s="192"/>
      <c r="G77" s="192"/>
      <c r="H77" s="192">
        <v>3380</v>
      </c>
    </row>
    <row r="78" spans="4:8" x14ac:dyDescent="0.3">
      <c r="D78" s="192"/>
      <c r="E78" s="192">
        <f>SUM(E68:E76)</f>
        <v>43280</v>
      </c>
      <c r="F78" s="192"/>
      <c r="G78" s="192"/>
      <c r="H78" s="192">
        <f>SUM(H73:H77)</f>
        <v>26642</v>
      </c>
    </row>
    <row r="79" spans="4:8" x14ac:dyDescent="0.3">
      <c r="D79" s="192"/>
      <c r="E79" s="192"/>
      <c r="F79" s="192"/>
      <c r="G79" s="192"/>
      <c r="H79" s="192"/>
    </row>
    <row r="80" spans="4:8" x14ac:dyDescent="0.3">
      <c r="D80" s="193" t="s">
        <v>244</v>
      </c>
      <c r="E80" s="193"/>
      <c r="F80" s="192"/>
      <c r="G80" s="192"/>
      <c r="H80" s="194">
        <f>H76+H74</f>
        <v>21012</v>
      </c>
    </row>
    <row r="81" spans="4:8" x14ac:dyDescent="0.3">
      <c r="D81" s="193" t="s">
        <v>245</v>
      </c>
      <c r="E81" s="193">
        <v>2090</v>
      </c>
      <c r="F81" s="192"/>
      <c r="G81" s="192"/>
      <c r="H81" s="194">
        <f>H78-H80</f>
        <v>5630</v>
      </c>
    </row>
    <row r="82" spans="4:8" x14ac:dyDescent="0.3">
      <c r="D82" s="193" t="s">
        <v>245</v>
      </c>
      <c r="E82" s="193">
        <v>2424</v>
      </c>
      <c r="F82" s="192"/>
      <c r="G82" s="192"/>
      <c r="H82" s="192"/>
    </row>
    <row r="83" spans="4:8" x14ac:dyDescent="0.3">
      <c r="D83" s="193"/>
      <c r="E83" s="193">
        <f>SUM(E81:E82)</f>
        <v>4514</v>
      </c>
      <c r="F83" s="192"/>
      <c r="G83" s="192"/>
      <c r="H83" s="192">
        <f>E83</f>
        <v>4514</v>
      </c>
    </row>
    <row r="84" spans="4:8" x14ac:dyDescent="0.3">
      <c r="D84" s="192"/>
      <c r="E84" s="192"/>
      <c r="F84" s="192"/>
      <c r="G84" s="192"/>
      <c r="H84" s="192"/>
    </row>
    <row r="85" spans="4:8" x14ac:dyDescent="0.3">
      <c r="D85" s="192"/>
      <c r="E85" s="195"/>
      <c r="F85" s="192"/>
      <c r="G85" s="192"/>
      <c r="H85" s="192"/>
    </row>
    <row r="86" spans="4:8" x14ac:dyDescent="0.3">
      <c r="D86" s="192"/>
      <c r="E86" s="192"/>
      <c r="F86" s="192"/>
      <c r="G86" s="192"/>
      <c r="H86" s="192"/>
    </row>
    <row r="87" spans="4:8" x14ac:dyDescent="0.3">
      <c r="D87" s="192"/>
      <c r="E87" s="192"/>
      <c r="F87" s="192"/>
      <c r="G87" s="192"/>
      <c r="H87" s="194">
        <f>H80+H83</f>
        <v>25526</v>
      </c>
    </row>
    <row r="88" spans="4:8" x14ac:dyDescent="0.3">
      <c r="D88" s="192"/>
      <c r="E88" s="192">
        <f>34602-20000</f>
        <v>14602</v>
      </c>
      <c r="F88" s="192"/>
      <c r="G88" s="192"/>
      <c r="H88" s="192"/>
    </row>
    <row r="89" spans="4:8" x14ac:dyDescent="0.3">
      <c r="D89" s="192"/>
      <c r="E89" s="192"/>
      <c r="F89" s="192"/>
      <c r="G89" s="192"/>
      <c r="H89" s="192"/>
    </row>
    <row r="90" spans="4:8" x14ac:dyDescent="0.3">
      <c r="D90" s="192"/>
      <c r="E90" s="192"/>
      <c r="F90" s="192"/>
      <c r="G90" s="192"/>
      <c r="H90" s="192"/>
    </row>
    <row r="91" spans="4:8" x14ac:dyDescent="0.3">
      <c r="D91" s="192"/>
      <c r="E91" s="192">
        <f>E78+E83</f>
        <v>47794</v>
      </c>
      <c r="F91" s="194">
        <f>H92</f>
        <v>25526</v>
      </c>
      <c r="G91" s="192"/>
      <c r="H91" s="192">
        <f>H78+E83</f>
        <v>31156</v>
      </c>
    </row>
    <row r="92" spans="4:8" x14ac:dyDescent="0.3">
      <c r="D92" s="192"/>
      <c r="E92" s="192"/>
      <c r="F92" s="194">
        <f>E91-F91</f>
        <v>22268</v>
      </c>
      <c r="G92" s="192"/>
      <c r="H92" s="194">
        <f>H80+H83</f>
        <v>25526</v>
      </c>
    </row>
    <row r="93" spans="4:8" x14ac:dyDescent="0.3">
      <c r="D93" s="192"/>
      <c r="E93" s="192"/>
      <c r="F93" s="192"/>
      <c r="G93" s="192"/>
      <c r="H93" s="194">
        <f>H91-H92</f>
        <v>5630</v>
      </c>
    </row>
    <row r="94" spans="4:8" x14ac:dyDescent="0.3">
      <c r="D94" s="192"/>
      <c r="E94" s="192"/>
      <c r="F94" s="192"/>
      <c r="G94" s="192"/>
      <c r="H94" s="192"/>
    </row>
  </sheetData>
  <mergeCells count="1">
    <mergeCell ref="A1:G1"/>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A1817-B64D-4919-9093-8143C75F9A63}">
  <dimension ref="A1:N22"/>
  <sheetViews>
    <sheetView workbookViewId="0">
      <selection activeCell="G22" sqref="G22"/>
    </sheetView>
  </sheetViews>
  <sheetFormatPr defaultRowHeight="14.4" x14ac:dyDescent="0.3"/>
  <cols>
    <col min="1" max="1" width="31.33203125" bestFit="1" customWidth="1"/>
    <col min="2" max="2" width="6.77734375" bestFit="1" customWidth="1"/>
    <col min="3" max="4" width="11.5546875" bestFit="1" customWidth="1"/>
    <col min="5" max="5" width="12.5546875" bestFit="1" customWidth="1"/>
    <col min="6" max="6" width="12.6640625" bestFit="1" customWidth="1"/>
    <col min="7" max="7" width="12.5546875" bestFit="1" customWidth="1"/>
    <col min="8" max="14" width="11.5546875" bestFit="1" customWidth="1"/>
  </cols>
  <sheetData>
    <row r="1" spans="1:14" ht="15" thickBot="1" x14ac:dyDescent="0.35">
      <c r="A1" s="157" t="s">
        <v>208</v>
      </c>
      <c r="B1" s="158"/>
      <c r="C1" s="159" t="s">
        <v>129</v>
      </c>
      <c r="D1" s="159" t="s">
        <v>132</v>
      </c>
      <c r="E1" s="159" t="s">
        <v>133</v>
      </c>
      <c r="F1" s="159" t="s">
        <v>134</v>
      </c>
      <c r="G1" s="159" t="s">
        <v>135</v>
      </c>
      <c r="H1" s="159" t="s">
        <v>136</v>
      </c>
      <c r="I1" s="159" t="s">
        <v>137</v>
      </c>
      <c r="J1" s="159" t="s">
        <v>138</v>
      </c>
      <c r="K1" s="159" t="s">
        <v>139</v>
      </c>
      <c r="L1" s="159" t="s">
        <v>140</v>
      </c>
      <c r="M1" s="159" t="s">
        <v>141</v>
      </c>
      <c r="N1" s="160" t="s">
        <v>142</v>
      </c>
    </row>
    <row r="2" spans="1:14" ht="15" thickBot="1" x14ac:dyDescent="0.35">
      <c r="A2" s="157" t="s">
        <v>225</v>
      </c>
      <c r="B2" s="158"/>
      <c r="C2" s="159">
        <v>200000</v>
      </c>
      <c r="D2" s="159">
        <f>'PnL Jan 25 to Mar 26'!F5</f>
        <v>220000</v>
      </c>
      <c r="E2" s="159">
        <f>'PnL Jan 25 to Mar 26'!G5</f>
        <v>250000</v>
      </c>
      <c r="F2" s="159">
        <f>'PnL Jan 25 to Mar 26'!H6</f>
        <v>300000</v>
      </c>
      <c r="G2" s="159">
        <f>'PnL Jan 25 to Mar 26'!I6</f>
        <v>325000</v>
      </c>
      <c r="H2" s="159">
        <f>'PnL Jan 25 to Mar 26'!J6</f>
        <v>400000</v>
      </c>
      <c r="I2" s="159">
        <f>'PnL Jan 25 to Mar 26'!K6</f>
        <v>500000</v>
      </c>
      <c r="J2" s="159">
        <f>'PnL Jan 25 to Mar 26'!L6</f>
        <v>600000</v>
      </c>
      <c r="K2" s="159">
        <f>'PnL Jan 25 to Mar 26'!M6</f>
        <v>700000</v>
      </c>
      <c r="L2" s="159">
        <f>'PnL Jan 25 to Mar 26'!N6</f>
        <v>650000</v>
      </c>
      <c r="M2" s="159">
        <f>'PnL Jan 25 to Mar 26'!O6</f>
        <v>600000</v>
      </c>
      <c r="N2" s="160">
        <f>'PnL Jan 25 to Mar 26'!P6</f>
        <v>550000</v>
      </c>
    </row>
    <row r="3" spans="1:14" x14ac:dyDescent="0.3">
      <c r="A3" s="141" t="s">
        <v>222</v>
      </c>
      <c r="B3" s="142"/>
      <c r="C3" s="143">
        <f>'PnL Jan 25 to Mar 26'!E10</f>
        <v>212585</v>
      </c>
      <c r="D3" s="143">
        <f>'[2]May 25'!$J$24</f>
        <v>233860</v>
      </c>
      <c r="E3" s="144">
        <f>'[2]June 25'!$J$26</f>
        <v>68098</v>
      </c>
      <c r="F3" s="144"/>
      <c r="G3" s="144"/>
      <c r="H3" s="143"/>
      <c r="I3" s="145"/>
      <c r="J3" s="145"/>
      <c r="K3" s="145"/>
      <c r="L3" s="145"/>
      <c r="M3" s="145"/>
      <c r="N3" s="146"/>
    </row>
    <row r="4" spans="1:14" x14ac:dyDescent="0.3">
      <c r="A4" s="180" t="s">
        <v>231</v>
      </c>
      <c r="B4" s="181"/>
      <c r="C4" s="182">
        <v>0</v>
      </c>
      <c r="D4" s="182"/>
      <c r="E4" s="183"/>
      <c r="F4" s="183"/>
      <c r="G4" s="183"/>
      <c r="H4" s="182"/>
      <c r="I4" s="184"/>
      <c r="J4" s="184"/>
      <c r="K4" s="184"/>
      <c r="L4" s="184"/>
      <c r="M4" s="184"/>
      <c r="N4" s="185"/>
    </row>
    <row r="5" spans="1:14" ht="15" thickBot="1" x14ac:dyDescent="0.35">
      <c r="A5" s="151" t="s">
        <v>209</v>
      </c>
      <c r="B5" s="152"/>
      <c r="C5" s="153">
        <f>C3/4</f>
        <v>53146.25</v>
      </c>
      <c r="D5" s="153">
        <f>D3/4</f>
        <v>58465</v>
      </c>
      <c r="E5" s="154">
        <f t="shared" ref="E5:L5" si="0">E3/4</f>
        <v>17024.5</v>
      </c>
      <c r="F5" s="154">
        <f t="shared" si="0"/>
        <v>0</v>
      </c>
      <c r="G5" s="154">
        <f t="shared" si="0"/>
        <v>0</v>
      </c>
      <c r="H5" s="153">
        <f t="shared" si="0"/>
        <v>0</v>
      </c>
      <c r="I5" s="155">
        <f t="shared" si="0"/>
        <v>0</v>
      </c>
      <c r="J5" s="155">
        <f t="shared" si="0"/>
        <v>0</v>
      </c>
      <c r="K5" s="155">
        <f t="shared" si="0"/>
        <v>0</v>
      </c>
      <c r="L5" s="155">
        <f t="shared" si="0"/>
        <v>0</v>
      </c>
      <c r="M5" s="155">
        <f t="shared" ref="M5:N5" si="1">M3/4</f>
        <v>0</v>
      </c>
      <c r="N5" s="156">
        <f t="shared" si="1"/>
        <v>0</v>
      </c>
    </row>
    <row r="6" spans="1:14" x14ac:dyDescent="0.3">
      <c r="A6" s="161" t="s">
        <v>213</v>
      </c>
      <c r="B6" s="136" t="s">
        <v>200</v>
      </c>
      <c r="C6" s="137"/>
      <c r="D6" s="137"/>
      <c r="E6" s="138"/>
      <c r="F6" s="138"/>
      <c r="G6" s="138"/>
      <c r="H6" s="137"/>
      <c r="I6" s="139"/>
      <c r="J6" s="139"/>
      <c r="K6" s="139"/>
      <c r="L6" s="139"/>
      <c r="M6" s="139"/>
      <c r="N6" s="162"/>
    </row>
    <row r="7" spans="1:14" x14ac:dyDescent="0.3">
      <c r="A7" s="163" t="s">
        <v>198</v>
      </c>
      <c r="B7" s="133">
        <v>0.1</v>
      </c>
      <c r="C7" s="132">
        <f>C3*B7</f>
        <v>21258.5</v>
      </c>
      <c r="D7" s="132">
        <f>D3*B7</f>
        <v>23386</v>
      </c>
      <c r="E7" s="134">
        <f>E5*B7</f>
        <v>1702.45</v>
      </c>
      <c r="F7" s="134">
        <f>F5*B7</f>
        <v>0</v>
      </c>
      <c r="G7" s="134">
        <f>G5*B7</f>
        <v>0</v>
      </c>
      <c r="H7" s="132">
        <f>H5*B7</f>
        <v>0</v>
      </c>
      <c r="I7" s="135">
        <f>I5*B7</f>
        <v>0</v>
      </c>
      <c r="J7" s="135">
        <f>J5*B7</f>
        <v>0</v>
      </c>
      <c r="K7" s="135">
        <f>K5*B7</f>
        <v>0</v>
      </c>
      <c r="L7" s="135">
        <f>L5*B7</f>
        <v>0</v>
      </c>
      <c r="M7" s="135">
        <f>M5*B7</f>
        <v>0</v>
      </c>
      <c r="N7" s="164">
        <f>N5*B7</f>
        <v>0</v>
      </c>
    </row>
    <row r="8" spans="1:14" x14ac:dyDescent="0.3">
      <c r="A8" s="163" t="s">
        <v>210</v>
      </c>
      <c r="B8" s="133">
        <v>0.1</v>
      </c>
      <c r="C8" s="132">
        <f>C3*B8</f>
        <v>21258.5</v>
      </c>
      <c r="D8" s="132">
        <f>D3*B8</f>
        <v>23386</v>
      </c>
      <c r="E8" s="134">
        <f>E5*B8</f>
        <v>1702.45</v>
      </c>
      <c r="F8" s="134">
        <f>F5*B8</f>
        <v>0</v>
      </c>
      <c r="G8" s="134">
        <f>G5*B8</f>
        <v>0</v>
      </c>
      <c r="H8" s="132">
        <f>H5*B8</f>
        <v>0</v>
      </c>
      <c r="I8" s="135">
        <f>I5*B8</f>
        <v>0</v>
      </c>
      <c r="J8" s="135">
        <f>J5*B8</f>
        <v>0</v>
      </c>
      <c r="K8" s="135">
        <f>K5*B8</f>
        <v>0</v>
      </c>
      <c r="L8" s="135">
        <f>L5*B8</f>
        <v>0</v>
      </c>
      <c r="M8" s="135">
        <f>M5*B8</f>
        <v>0</v>
      </c>
      <c r="N8" s="164">
        <f>N5*B8</f>
        <v>0</v>
      </c>
    </row>
    <row r="9" spans="1:14" x14ac:dyDescent="0.3">
      <c r="A9" s="163" t="s">
        <v>199</v>
      </c>
      <c r="B9" s="133">
        <v>0.15</v>
      </c>
      <c r="C9" s="132">
        <f>C3*B9</f>
        <v>31887.75</v>
      </c>
      <c r="D9" s="132">
        <f>D3*B9</f>
        <v>35079</v>
      </c>
      <c r="E9" s="134">
        <f>E5*B9</f>
        <v>2553.6749999999997</v>
      </c>
      <c r="F9" s="134">
        <f>F5*B9</f>
        <v>0</v>
      </c>
      <c r="G9" s="134">
        <f>G5*B9</f>
        <v>0</v>
      </c>
      <c r="H9" s="132">
        <f>H5*B9</f>
        <v>0</v>
      </c>
      <c r="I9" s="135">
        <f>I5*B9</f>
        <v>0</v>
      </c>
      <c r="J9" s="135">
        <f>J5*B9</f>
        <v>0</v>
      </c>
      <c r="K9" s="135">
        <f>K5*B9</f>
        <v>0</v>
      </c>
      <c r="L9" s="135">
        <f>L5*B9</f>
        <v>0</v>
      </c>
      <c r="M9" s="135">
        <f>M5*B9</f>
        <v>0</v>
      </c>
      <c r="N9" s="164">
        <f>N5*B9</f>
        <v>0</v>
      </c>
    </row>
    <row r="10" spans="1:14" x14ac:dyDescent="0.3">
      <c r="A10" s="163" t="s">
        <v>211</v>
      </c>
      <c r="B10" s="133">
        <v>0.15</v>
      </c>
      <c r="C10" s="132">
        <f>C3*B10</f>
        <v>31887.75</v>
      </c>
      <c r="D10" s="132">
        <f>D3*B10</f>
        <v>35079</v>
      </c>
      <c r="E10" s="134">
        <f>E5*B10</f>
        <v>2553.6749999999997</v>
      </c>
      <c r="F10" s="134">
        <f>F5*B10</f>
        <v>0</v>
      </c>
      <c r="G10" s="134">
        <f>G5*B10</f>
        <v>0</v>
      </c>
      <c r="H10" s="132">
        <f>H5*B10</f>
        <v>0</v>
      </c>
      <c r="I10" s="135">
        <f>I5*B10</f>
        <v>0</v>
      </c>
      <c r="J10" s="135">
        <f>J5*B10</f>
        <v>0</v>
      </c>
      <c r="K10" s="135">
        <f>K5*B10</f>
        <v>0</v>
      </c>
      <c r="L10" s="135">
        <f>L5*B10</f>
        <v>0</v>
      </c>
      <c r="M10" s="135">
        <f>M5*B10</f>
        <v>0</v>
      </c>
      <c r="N10" s="164">
        <f>N5*B10</f>
        <v>0</v>
      </c>
    </row>
    <row r="11" spans="1:14" x14ac:dyDescent="0.3">
      <c r="A11" s="163" t="s">
        <v>212</v>
      </c>
      <c r="B11" s="133">
        <v>0.25</v>
      </c>
      <c r="C11" s="132">
        <f>C3*B11</f>
        <v>53146.25</v>
      </c>
      <c r="D11" s="132">
        <f>D3*B11</f>
        <v>58465</v>
      </c>
      <c r="E11" s="134">
        <f>E5*B11</f>
        <v>4256.125</v>
      </c>
      <c r="F11" s="134">
        <f>F5*B11</f>
        <v>0</v>
      </c>
      <c r="G11" s="134">
        <f>G5*B11</f>
        <v>0</v>
      </c>
      <c r="H11" s="132">
        <f>H5*B11</f>
        <v>0</v>
      </c>
      <c r="I11" s="135">
        <f>I5*B11</f>
        <v>0</v>
      </c>
      <c r="J11" s="135">
        <f>J5*B11</f>
        <v>0</v>
      </c>
      <c r="K11" s="135">
        <f>K5*B11</f>
        <v>0</v>
      </c>
      <c r="L11" s="135">
        <f>L5*B11</f>
        <v>0</v>
      </c>
      <c r="M11" s="135">
        <f>M5*B11</f>
        <v>0</v>
      </c>
      <c r="N11" s="164">
        <f>N5*B11</f>
        <v>0</v>
      </c>
    </row>
    <row r="12" spans="1:14" x14ac:dyDescent="0.3">
      <c r="A12" s="163" t="s">
        <v>196</v>
      </c>
      <c r="B12" s="133">
        <v>0.25</v>
      </c>
      <c r="C12" s="132">
        <f>C3*B12</f>
        <v>53146.25</v>
      </c>
      <c r="D12" s="132">
        <f>D3*B12</f>
        <v>58465</v>
      </c>
      <c r="E12" s="134">
        <f>E5*B12</f>
        <v>4256.125</v>
      </c>
      <c r="F12" s="134">
        <f>F5*B12</f>
        <v>0</v>
      </c>
      <c r="G12" s="134">
        <f>G5*B12</f>
        <v>0</v>
      </c>
      <c r="H12" s="132">
        <f>H5*B12</f>
        <v>0</v>
      </c>
      <c r="I12" s="135">
        <f>I5*B12</f>
        <v>0</v>
      </c>
      <c r="J12" s="135">
        <f>J5*B12</f>
        <v>0</v>
      </c>
      <c r="K12" s="135">
        <f>K5*B12</f>
        <v>0</v>
      </c>
      <c r="L12" s="135">
        <f>L5*B12</f>
        <v>0</v>
      </c>
      <c r="M12" s="135">
        <f>M5*B12</f>
        <v>0</v>
      </c>
      <c r="N12" s="164">
        <f>N5*B12</f>
        <v>0</v>
      </c>
    </row>
    <row r="13" spans="1:14" x14ac:dyDescent="0.3">
      <c r="A13" s="163" t="s">
        <v>197</v>
      </c>
      <c r="B13" s="131"/>
      <c r="C13" s="132"/>
      <c r="D13" s="132"/>
      <c r="E13" s="134"/>
      <c r="F13" s="134"/>
      <c r="G13" s="134"/>
      <c r="H13" s="132"/>
      <c r="I13" s="135"/>
      <c r="J13" s="135"/>
      <c r="K13" s="135"/>
      <c r="L13" s="135"/>
      <c r="M13" s="135"/>
      <c r="N13" s="164"/>
    </row>
    <row r="14" spans="1:14" ht="15" thickBot="1" x14ac:dyDescent="0.35">
      <c r="A14" s="140"/>
      <c r="B14" s="165">
        <f t="shared" ref="B14:N14" si="2">SUM(B7:B13)</f>
        <v>1</v>
      </c>
      <c r="C14" s="147">
        <f t="shared" si="2"/>
        <v>212585</v>
      </c>
      <c r="D14" s="147">
        <f t="shared" si="2"/>
        <v>233860</v>
      </c>
      <c r="E14" s="148">
        <f t="shared" si="2"/>
        <v>17024.5</v>
      </c>
      <c r="F14" s="148">
        <f t="shared" si="2"/>
        <v>0</v>
      </c>
      <c r="G14" s="148">
        <f t="shared" si="2"/>
        <v>0</v>
      </c>
      <c r="H14" s="147">
        <f t="shared" si="2"/>
        <v>0</v>
      </c>
      <c r="I14" s="149">
        <f t="shared" si="2"/>
        <v>0</v>
      </c>
      <c r="J14" s="149">
        <f t="shared" si="2"/>
        <v>0</v>
      </c>
      <c r="K14" s="149">
        <f t="shared" si="2"/>
        <v>0</v>
      </c>
      <c r="L14" s="149">
        <f t="shared" si="2"/>
        <v>0</v>
      </c>
      <c r="M14" s="149">
        <f t="shared" si="2"/>
        <v>0</v>
      </c>
      <c r="N14" s="150">
        <f t="shared" si="2"/>
        <v>0</v>
      </c>
    </row>
    <row r="15" spans="1:14" x14ac:dyDescent="0.3">
      <c r="A15" s="385" t="s">
        <v>376</v>
      </c>
      <c r="B15" s="385"/>
      <c r="C15" s="386">
        <f>C3/30.5</f>
        <v>6970</v>
      </c>
      <c r="D15" s="386">
        <f>D3/30.5</f>
        <v>7667.5409836065573</v>
      </c>
      <c r="E15" s="386">
        <f>E3/30.5</f>
        <v>2232.7213114754099</v>
      </c>
      <c r="F15" s="387"/>
      <c r="G15" s="388"/>
      <c r="H15" s="389"/>
      <c r="I15" s="389"/>
      <c r="J15" s="389"/>
      <c r="K15" s="389"/>
      <c r="L15" s="389"/>
      <c r="M15" s="389"/>
      <c r="N15" s="389"/>
    </row>
    <row r="16" spans="1:14" x14ac:dyDescent="0.3">
      <c r="A16" s="127"/>
      <c r="B16" s="127"/>
      <c r="C16" s="130"/>
      <c r="E16" s="127"/>
      <c r="F16" s="127"/>
      <c r="G16" s="128"/>
    </row>
    <row r="17" spans="1:7" x14ac:dyDescent="0.3">
      <c r="A17" s="127"/>
      <c r="B17" s="127"/>
      <c r="C17" s="130"/>
      <c r="D17" s="167"/>
      <c r="E17" s="127"/>
      <c r="F17" s="129"/>
      <c r="G17" s="128"/>
    </row>
    <row r="18" spans="1:7" x14ac:dyDescent="0.3">
      <c r="C18" s="130"/>
      <c r="D18" s="167"/>
    </row>
    <row r="19" spans="1:7" x14ac:dyDescent="0.3">
      <c r="C19" s="167"/>
    </row>
    <row r="20" spans="1:7" x14ac:dyDescent="0.3">
      <c r="C20" s="167"/>
    </row>
    <row r="21" spans="1:7" x14ac:dyDescent="0.3">
      <c r="C21" s="167"/>
    </row>
    <row r="22" spans="1:7" x14ac:dyDescent="0.3">
      <c r="C22" s="16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718FF-8F3D-4248-B3EE-FA7C8CDB5290}">
  <dimension ref="A3:L25"/>
  <sheetViews>
    <sheetView zoomScale="90" zoomScaleNormal="90" workbookViewId="0">
      <selection activeCell="F10" sqref="F10"/>
    </sheetView>
  </sheetViews>
  <sheetFormatPr defaultRowHeight="14.4" x14ac:dyDescent="0.3"/>
  <cols>
    <col min="1" max="1" width="72.21875" bestFit="1" customWidth="1"/>
    <col min="2" max="2" width="14.5546875" bestFit="1" customWidth="1"/>
    <col min="3" max="3" width="18.5546875" bestFit="1" customWidth="1"/>
    <col min="4" max="4" width="17.44140625" bestFit="1" customWidth="1"/>
    <col min="5" max="5" width="21.33203125" bestFit="1" customWidth="1"/>
    <col min="6" max="6" width="19.77734375" bestFit="1" customWidth="1"/>
  </cols>
  <sheetData>
    <row r="3" spans="1:12" ht="15.6" x14ac:dyDescent="0.3">
      <c r="A3" s="1" t="s">
        <v>1</v>
      </c>
      <c r="B3" s="2" t="s">
        <v>61</v>
      </c>
      <c r="C3" s="2" t="s">
        <v>33</v>
      </c>
      <c r="D3" s="2" t="s">
        <v>62</v>
      </c>
      <c r="E3" s="2" t="s">
        <v>60</v>
      </c>
      <c r="F3" s="2" t="s">
        <v>63</v>
      </c>
      <c r="G3" s="13"/>
    </row>
    <row r="4" spans="1:12" ht="15.6" x14ac:dyDescent="0.3">
      <c r="A4" s="1" t="s">
        <v>59</v>
      </c>
      <c r="B4" s="2"/>
      <c r="C4" s="2"/>
      <c r="D4" s="2"/>
      <c r="E4" s="2"/>
      <c r="F4" s="2"/>
      <c r="G4" s="13"/>
    </row>
    <row r="5" spans="1:12" ht="15.6" x14ac:dyDescent="0.3">
      <c r="A5" s="1" t="s">
        <v>66</v>
      </c>
      <c r="B5" s="2">
        <v>1</v>
      </c>
      <c r="C5" s="2" t="s">
        <v>67</v>
      </c>
      <c r="D5" s="3">
        <v>50000</v>
      </c>
      <c r="E5" s="3">
        <v>1</v>
      </c>
      <c r="F5" s="3">
        <v>50200</v>
      </c>
      <c r="G5" s="13"/>
    </row>
    <row r="6" spans="1:12" ht="15.6" x14ac:dyDescent="0.3">
      <c r="A6" s="1" t="s">
        <v>145</v>
      </c>
      <c r="B6" s="3">
        <v>1</v>
      </c>
      <c r="C6" s="3" t="s">
        <v>144</v>
      </c>
      <c r="D6" s="3">
        <v>27000</v>
      </c>
      <c r="E6" s="3">
        <v>1</v>
      </c>
      <c r="F6" s="3">
        <v>27000</v>
      </c>
      <c r="G6" s="13"/>
    </row>
    <row r="7" spans="1:12" ht="15.6" x14ac:dyDescent="0.3">
      <c r="A7" s="1" t="s">
        <v>391</v>
      </c>
      <c r="B7" s="3">
        <v>0</v>
      </c>
      <c r="C7" s="3">
        <v>0</v>
      </c>
      <c r="D7" s="3">
        <v>0</v>
      </c>
      <c r="E7" s="3">
        <v>0</v>
      </c>
      <c r="F7" s="3">
        <f>D7*E7</f>
        <v>0</v>
      </c>
      <c r="G7" s="13"/>
    </row>
    <row r="8" spans="1:12" ht="15.6" x14ac:dyDescent="0.3">
      <c r="A8" s="1" t="s">
        <v>146</v>
      </c>
      <c r="B8" s="3">
        <v>1</v>
      </c>
      <c r="C8" s="3"/>
      <c r="D8" s="3">
        <v>15000</v>
      </c>
      <c r="E8" s="3">
        <v>0</v>
      </c>
      <c r="F8" s="3">
        <f>D8</f>
        <v>15000</v>
      </c>
      <c r="G8" s="13"/>
    </row>
    <row r="9" spans="1:12" ht="15.6" x14ac:dyDescent="0.3">
      <c r="A9" s="4"/>
      <c r="B9" s="5">
        <f>SUM(B6:B8)</f>
        <v>2</v>
      </c>
      <c r="C9" s="5"/>
      <c r="D9" s="5"/>
      <c r="E9" s="5">
        <f>SUM(E5:E8)</f>
        <v>2</v>
      </c>
      <c r="F9" s="5">
        <f>SUM(F5:F8)</f>
        <v>92200</v>
      </c>
      <c r="G9" s="13"/>
    </row>
    <row r="10" spans="1:12" ht="15.6" x14ac:dyDescent="0.3">
      <c r="A10" s="1" t="s">
        <v>73</v>
      </c>
      <c r="B10" s="3">
        <v>1</v>
      </c>
      <c r="C10" s="3" t="s">
        <v>74</v>
      </c>
      <c r="D10" s="3">
        <v>17500</v>
      </c>
      <c r="E10" s="3">
        <v>1</v>
      </c>
      <c r="F10" s="3">
        <f>D10*E10</f>
        <v>17500</v>
      </c>
      <c r="G10" s="13"/>
    </row>
    <row r="11" spans="1:12" ht="16.2" thickBot="1" x14ac:dyDescent="0.35">
      <c r="A11" s="4" t="s">
        <v>0</v>
      </c>
      <c r="B11" s="5">
        <f>SUM(B10:B10)</f>
        <v>1</v>
      </c>
      <c r="C11" s="5"/>
      <c r="D11" s="5"/>
      <c r="E11" s="5">
        <f>SUM(E10:E10)</f>
        <v>1</v>
      </c>
      <c r="F11" s="5">
        <f>SUM(F10:F10)</f>
        <v>17500</v>
      </c>
      <c r="G11" s="13"/>
    </row>
    <row r="12" spans="1:12" ht="16.2" thickBot="1" x14ac:dyDescent="0.35">
      <c r="A12" s="7" t="s">
        <v>0</v>
      </c>
      <c r="B12" s="8"/>
      <c r="C12" s="8"/>
      <c r="D12" s="10"/>
      <c r="E12" s="11">
        <f>E9+E11</f>
        <v>3</v>
      </c>
      <c r="F12" s="12">
        <f>F9+F11</f>
        <v>109700</v>
      </c>
      <c r="G12" s="13"/>
      <c r="L12" s="18"/>
    </row>
    <row r="13" spans="1:12" ht="16.2" thickBot="1" x14ac:dyDescent="0.35">
      <c r="A13" s="6"/>
      <c r="B13" s="6"/>
      <c r="C13" s="6"/>
      <c r="D13" s="6"/>
      <c r="E13" s="6"/>
      <c r="F13" s="6"/>
      <c r="G13" s="13"/>
      <c r="L13" s="18"/>
    </row>
    <row r="14" spans="1:12" ht="16.2" thickBot="1" x14ac:dyDescent="0.35">
      <c r="A14" s="7" t="s">
        <v>17</v>
      </c>
      <c r="B14" s="9">
        <f>F12</f>
        <v>109700</v>
      </c>
      <c r="C14" s="166"/>
      <c r="D14" s="13"/>
      <c r="E14" s="13"/>
      <c r="F14" s="13"/>
      <c r="G14" s="13"/>
    </row>
    <row r="15" spans="1:12" ht="16.2" thickBot="1" x14ac:dyDescent="0.35">
      <c r="A15" s="13"/>
      <c r="B15" s="13"/>
      <c r="C15" s="13"/>
      <c r="D15" s="13"/>
      <c r="E15" s="13"/>
      <c r="F15" s="17"/>
      <c r="G15" s="13"/>
    </row>
    <row r="16" spans="1:12" ht="15.6" x14ac:dyDescent="0.3">
      <c r="A16" s="224" t="s">
        <v>193</v>
      </c>
      <c r="B16" s="225" t="s">
        <v>139</v>
      </c>
      <c r="C16" s="225" t="s">
        <v>93</v>
      </c>
      <c r="D16" s="225" t="s">
        <v>141</v>
      </c>
      <c r="E16" s="225" t="s">
        <v>94</v>
      </c>
      <c r="F16" s="226" t="s">
        <v>129</v>
      </c>
      <c r="H16" s="18"/>
    </row>
    <row r="17" spans="1:11" ht="15.6" x14ac:dyDescent="0.3">
      <c r="A17" s="227" t="s">
        <v>38</v>
      </c>
      <c r="B17" s="2">
        <f>4700+250</f>
        <v>4950</v>
      </c>
      <c r="C17" s="1">
        <f t="shared" ref="C17:F17" si="0">4700+250</f>
        <v>4950</v>
      </c>
      <c r="D17" s="2">
        <f t="shared" si="0"/>
        <v>4950</v>
      </c>
      <c r="E17" s="1">
        <f t="shared" si="0"/>
        <v>4950</v>
      </c>
      <c r="F17" s="228">
        <f t="shared" si="0"/>
        <v>4950</v>
      </c>
    </row>
    <row r="18" spans="1:11" ht="15.6" x14ac:dyDescent="0.3">
      <c r="A18" s="227" t="s">
        <v>190</v>
      </c>
      <c r="B18" s="2">
        <f>45000/30*15</f>
        <v>22500</v>
      </c>
      <c r="C18" s="1">
        <f>27000/30*5</f>
        <v>4500</v>
      </c>
      <c r="D18" s="2">
        <v>24000</v>
      </c>
      <c r="E18" s="1">
        <v>27000</v>
      </c>
      <c r="F18" s="228">
        <f>27000+50000</f>
        <v>77000</v>
      </c>
    </row>
    <row r="19" spans="1:11" ht="15.6" x14ac:dyDescent="0.3">
      <c r="A19" s="227" t="s">
        <v>191</v>
      </c>
      <c r="B19" s="2">
        <v>0</v>
      </c>
      <c r="C19" s="1">
        <v>57286</v>
      </c>
      <c r="D19" s="2">
        <v>56050</v>
      </c>
      <c r="E19" s="1">
        <f>(46660*18%)+46660</f>
        <v>55058.8</v>
      </c>
      <c r="F19" s="228">
        <f>(35000*18%)+35000</f>
        <v>41300</v>
      </c>
    </row>
    <row r="20" spans="1:11" ht="15.6" x14ac:dyDescent="0.3">
      <c r="A20" s="227" t="s">
        <v>192</v>
      </c>
      <c r="B20" s="2">
        <v>7885</v>
      </c>
      <c r="C20" s="1">
        <v>3700</v>
      </c>
      <c r="D20" s="2">
        <v>6444</v>
      </c>
      <c r="E20" s="1">
        <v>7500</v>
      </c>
      <c r="F20" s="228">
        <v>7500</v>
      </c>
      <c r="H20" s="18"/>
      <c r="K20" s="18"/>
    </row>
    <row r="21" spans="1:11" ht="15.6" x14ac:dyDescent="0.3">
      <c r="A21" s="227" t="s">
        <v>76</v>
      </c>
      <c r="B21" s="2">
        <v>3500</v>
      </c>
      <c r="C21" s="1">
        <v>3500</v>
      </c>
      <c r="D21" s="2">
        <v>3500</v>
      </c>
      <c r="E21" s="1">
        <v>3500</v>
      </c>
      <c r="F21" s="228">
        <v>3500</v>
      </c>
    </row>
    <row r="22" spans="1:11" ht="15.6" x14ac:dyDescent="0.3">
      <c r="A22" s="227" t="s">
        <v>194</v>
      </c>
      <c r="B22" s="2">
        <v>0</v>
      </c>
      <c r="C22" s="1">
        <v>0</v>
      </c>
      <c r="D22" s="2">
        <v>750</v>
      </c>
      <c r="E22" s="2">
        <v>750</v>
      </c>
      <c r="F22" s="229">
        <v>750</v>
      </c>
      <c r="K22" s="18"/>
    </row>
    <row r="23" spans="1:11" ht="15.6" x14ac:dyDescent="0.3">
      <c r="A23" s="227" t="s">
        <v>109</v>
      </c>
      <c r="B23" s="2">
        <v>16000</v>
      </c>
      <c r="C23" s="1">
        <v>16000</v>
      </c>
      <c r="D23" s="2">
        <v>16000</v>
      </c>
      <c r="E23" s="1">
        <v>16000</v>
      </c>
      <c r="F23" s="228">
        <v>16000</v>
      </c>
    </row>
    <row r="24" spans="1:11" ht="15.6" x14ac:dyDescent="0.3">
      <c r="A24" s="227" t="s">
        <v>75</v>
      </c>
      <c r="B24" s="2">
        <v>900</v>
      </c>
      <c r="C24" s="1">
        <v>900</v>
      </c>
      <c r="D24" s="2">
        <v>900</v>
      </c>
      <c r="E24" s="1">
        <v>900</v>
      </c>
      <c r="F24" s="228">
        <v>900</v>
      </c>
    </row>
    <row r="25" spans="1:11" ht="16.2" thickBot="1" x14ac:dyDescent="0.35">
      <c r="A25" s="230" t="s">
        <v>0</v>
      </c>
      <c r="B25" s="231">
        <f>SUM(B17:B24)</f>
        <v>55735</v>
      </c>
      <c r="C25" s="232">
        <f>SUM(C17:C24)</f>
        <v>90836</v>
      </c>
      <c r="D25" s="231">
        <f>SUM(D17:D24)</f>
        <v>112594</v>
      </c>
      <c r="E25" s="232">
        <f>SUM(E17:E24)</f>
        <v>115658.8</v>
      </c>
      <c r="F25" s="233">
        <f>SUM(F17:F24)</f>
        <v>151900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capex and accounts summary </vt:lpstr>
      <vt:lpstr>KARAN CAPEX AS PER BANK</vt:lpstr>
      <vt:lpstr>SAMIR CAPEX AS PER BANK</vt:lpstr>
      <vt:lpstr>Accounts against capex</vt:lpstr>
      <vt:lpstr>PnL Jan 25 to Mar 26</vt:lpstr>
      <vt:lpstr>Cashflow </vt:lpstr>
      <vt:lpstr>Rev Day wise break up </vt:lpstr>
      <vt:lpstr>Sal and fix working cap cost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Samir</dc:creator>
  <cp:lastModifiedBy>Switch Rental</cp:lastModifiedBy>
  <dcterms:created xsi:type="dcterms:W3CDTF">2023-09-04T09:25:09Z</dcterms:created>
  <dcterms:modified xsi:type="dcterms:W3CDTF">2025-06-02T09:50:59Z</dcterms:modified>
</cp:coreProperties>
</file>