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OneDrive\SWITCH DATA\OneDrive\Switch Final sheet 2025 NEW\Forecast &amp; Capex\"/>
    </mc:Choice>
  </mc:AlternateContent>
  <xr:revisionPtr revIDLastSave="0" documentId="13_ncr:1_{A6C35763-AEF3-46BA-A474-F8F9866BF43D}" xr6:coauthVersionLast="47" xr6:coauthVersionMax="47" xr10:uidLastSave="{00000000-0000-0000-0000-000000000000}"/>
  <bookViews>
    <workbookView xWindow="-108" yWindow="-108" windowWidth="23256" windowHeight="12456" activeTab="6" xr2:uid="{9A749374-C153-4988-9C89-AAD9E5660E46}"/>
  </bookViews>
  <sheets>
    <sheet name="Pending payments " sheetId="5" r:id="rId1"/>
    <sheet name="JAN 25" sheetId="2" r:id="rId2"/>
    <sheet name="FEB 25" sheetId="3" r:id="rId3"/>
    <sheet name="March 25" sheetId="4" r:id="rId4"/>
    <sheet name="April 25 " sheetId="8" r:id="rId5"/>
    <sheet name="May 25" sheetId="9" r:id="rId6"/>
    <sheet name="June 25" sheetId="10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0" l="1"/>
  <c r="M6" i="10" l="1"/>
  <c r="J12" i="9" l="1"/>
  <c r="J4" i="10"/>
  <c r="K4" i="10" s="1"/>
  <c r="L4" i="10" s="1"/>
  <c r="N4" i="10" s="1"/>
  <c r="I3" i="10"/>
  <c r="L12" i="9" l="1"/>
  <c r="K12" i="9"/>
  <c r="Q12" i="9"/>
  <c r="Q4" i="10"/>
  <c r="J6" i="10"/>
  <c r="B21" i="5"/>
  <c r="C21" i="5"/>
  <c r="D21" i="5"/>
  <c r="E21" i="5"/>
  <c r="H21" i="5"/>
  <c r="I21" i="5"/>
  <c r="J21" i="5"/>
  <c r="K21" i="5"/>
  <c r="L21" i="5"/>
  <c r="M21" i="5"/>
  <c r="G5" i="5"/>
  <c r="M12" i="9" l="1"/>
  <c r="N12" i="9"/>
  <c r="K6" i="10"/>
  <c r="L6" i="10" s="1"/>
  <c r="G18" i="5" s="1"/>
  <c r="J3" i="10"/>
  <c r="Q3" i="10" s="1"/>
  <c r="J7" i="10"/>
  <c r="Q7" i="10" s="1"/>
  <c r="J8" i="10"/>
  <c r="K8" i="10" s="1"/>
  <c r="L8" i="10" s="1"/>
  <c r="N8" i="10" s="1"/>
  <c r="J9" i="10"/>
  <c r="Q9" i="10" s="1"/>
  <c r="J10" i="10"/>
  <c r="K10" i="10" s="1"/>
  <c r="L10" i="10" s="1"/>
  <c r="N10" i="10" s="1"/>
  <c r="J11" i="10"/>
  <c r="Q11" i="10" s="1"/>
  <c r="J12" i="10"/>
  <c r="K12" i="10" s="1"/>
  <c r="L12" i="10" s="1"/>
  <c r="N12" i="10" s="1"/>
  <c r="J13" i="10"/>
  <c r="K13" i="10" s="1"/>
  <c r="L13" i="10" s="1"/>
  <c r="N13" i="10" s="1"/>
  <c r="J14" i="10"/>
  <c r="K14" i="10" s="1"/>
  <c r="L14" i="10" s="1"/>
  <c r="N14" i="10" s="1"/>
  <c r="J15" i="10"/>
  <c r="K15" i="10" s="1"/>
  <c r="J16" i="10"/>
  <c r="K16" i="10" s="1"/>
  <c r="L16" i="10" s="1"/>
  <c r="N16" i="10" s="1"/>
  <c r="J17" i="10"/>
  <c r="K17" i="10" s="1"/>
  <c r="J18" i="10"/>
  <c r="K18" i="10" s="1"/>
  <c r="L18" i="10" s="1"/>
  <c r="N18" i="10" s="1"/>
  <c r="J19" i="10"/>
  <c r="K19" i="10" s="1"/>
  <c r="J20" i="10"/>
  <c r="K20" i="10" s="1"/>
  <c r="L20" i="10" s="1"/>
  <c r="N20" i="10" s="1"/>
  <c r="J21" i="10"/>
  <c r="K21" i="10" s="1"/>
  <c r="L21" i="10" s="1"/>
  <c r="N21" i="10" s="1"/>
  <c r="J22" i="10"/>
  <c r="K22" i="10" s="1"/>
  <c r="L22" i="10" s="1"/>
  <c r="N22" i="10" s="1"/>
  <c r="J23" i="10"/>
  <c r="K23" i="10" s="1"/>
  <c r="J24" i="10"/>
  <c r="K24" i="10" s="1"/>
  <c r="L24" i="10" s="1"/>
  <c r="N24" i="10" s="1"/>
  <c r="P26" i="10"/>
  <c r="H24" i="9"/>
  <c r="F5" i="5" s="1"/>
  <c r="I24" i="9"/>
  <c r="F3" i="5" s="1"/>
  <c r="J3" i="9"/>
  <c r="J4" i="9"/>
  <c r="J6" i="9"/>
  <c r="J7" i="9"/>
  <c r="J8" i="9"/>
  <c r="J9" i="9"/>
  <c r="J10" i="9"/>
  <c r="Q10" i="9" s="1"/>
  <c r="J11" i="9"/>
  <c r="Q11" i="9" s="1"/>
  <c r="J13" i="9"/>
  <c r="K13" i="9" s="1"/>
  <c r="L13" i="9" s="1"/>
  <c r="J14" i="9"/>
  <c r="K14" i="9" s="1"/>
  <c r="L14" i="9" s="1"/>
  <c r="J2" i="9"/>
  <c r="E37" i="9"/>
  <c r="D38" i="9"/>
  <c r="E33" i="9"/>
  <c r="E34" i="9"/>
  <c r="E35" i="9"/>
  <c r="E36" i="9"/>
  <c r="E32" i="9"/>
  <c r="C38" i="9"/>
  <c r="Q12" i="10" l="1"/>
  <c r="K11" i="10"/>
  <c r="L11" i="10" s="1"/>
  <c r="N11" i="10" s="1"/>
  <c r="L17" i="10"/>
  <c r="N17" i="10" s="1"/>
  <c r="Q8" i="10"/>
  <c r="K3" i="10"/>
  <c r="L3" i="10" s="1"/>
  <c r="N3" i="10" s="1"/>
  <c r="G16" i="5" s="1"/>
  <c r="N16" i="5" s="1"/>
  <c r="K9" i="10"/>
  <c r="L9" i="10" s="1"/>
  <c r="N9" i="10" s="1"/>
  <c r="Q6" i="10"/>
  <c r="K7" i="10"/>
  <c r="L7" i="10" s="1"/>
  <c r="N7" i="10" s="1"/>
  <c r="L19" i="10"/>
  <c r="N19" i="10" s="1"/>
  <c r="L23" i="10"/>
  <c r="N23" i="10" s="1"/>
  <c r="L15" i="10"/>
  <c r="N15" i="10" s="1"/>
  <c r="Q13" i="10"/>
  <c r="Q10" i="10"/>
  <c r="K11" i="9"/>
  <c r="L11" i="9" s="1"/>
  <c r="N11" i="9" s="1"/>
  <c r="E38" i="9"/>
  <c r="E39" i="9" s="1"/>
  <c r="E40" i="9" s="1"/>
  <c r="K9" i="9"/>
  <c r="L9" i="9" s="1"/>
  <c r="N9" i="9" s="1"/>
  <c r="F12" i="5" s="1"/>
  <c r="Q9" i="9"/>
  <c r="K10" i="9"/>
  <c r="L10" i="9" s="1"/>
  <c r="N10" i="9" s="1"/>
  <c r="F20" i="5" s="1"/>
  <c r="N20" i="5" s="1"/>
  <c r="F19" i="5"/>
  <c r="N19" i="5" s="1"/>
  <c r="Q8" i="9"/>
  <c r="F15" i="5" l="1"/>
  <c r="N15" i="5" s="1"/>
  <c r="N12" i="5"/>
  <c r="K8" i="9"/>
  <c r="K7" i="9"/>
  <c r="L7" i="9" s="1"/>
  <c r="M26" i="10" l="1"/>
  <c r="L8" i="9"/>
  <c r="Q7" i="9"/>
  <c r="N7" i="9"/>
  <c r="K6" i="9"/>
  <c r="Q6" i="9"/>
  <c r="N13" i="5" l="1"/>
  <c r="M8" i="9"/>
  <c r="L6" i="9"/>
  <c r="G5" i="9"/>
  <c r="G24" i="9" l="1"/>
  <c r="J5" i="9"/>
  <c r="J24" i="9" s="1"/>
  <c r="I25" i="9" l="1"/>
  <c r="F2" i="5"/>
  <c r="F4" i="5" s="1"/>
  <c r="F6" i="5" s="1"/>
  <c r="K5" i="9"/>
  <c r="L5" i="9" s="1"/>
  <c r="Q5" i="9"/>
  <c r="K4" i="9"/>
  <c r="Q4" i="9"/>
  <c r="K3" i="9"/>
  <c r="L3" i="9" l="1"/>
  <c r="L4" i="9"/>
  <c r="M5" i="9"/>
  <c r="Q3" i="9"/>
  <c r="K2" i="9"/>
  <c r="K24" i="9" s="1"/>
  <c r="M4" i="9" l="1"/>
  <c r="N4" i="9" s="1"/>
  <c r="F14" i="5" s="1"/>
  <c r="F7" i="5"/>
  <c r="F8" i="5" s="1"/>
  <c r="M3" i="9"/>
  <c r="Q2" i="9"/>
  <c r="L2" i="9"/>
  <c r="L24" i="9" s="1"/>
  <c r="H5" i="8"/>
  <c r="M24" i="9" l="1"/>
  <c r="N14" i="5"/>
  <c r="F21" i="5"/>
  <c r="N2" i="9"/>
  <c r="P24" i="9" s="1"/>
  <c r="Q24" i="9" s="1"/>
  <c r="P13" i="8"/>
  <c r="N24" i="9" l="1"/>
  <c r="G11" i="8"/>
  <c r="J11" i="8" s="1"/>
  <c r="J5" i="8"/>
  <c r="Q5" i="8" s="1"/>
  <c r="K11" i="8" l="1"/>
  <c r="L11" i="8" s="1"/>
  <c r="M11" i="8" s="1"/>
  <c r="Q11" i="8"/>
  <c r="J10" i="8"/>
  <c r="Q10" i="8" s="1"/>
  <c r="J4" i="8"/>
  <c r="Q4" i="8" s="1"/>
  <c r="J6" i="8"/>
  <c r="J7" i="8"/>
  <c r="Q7" i="8" s="1"/>
  <c r="J8" i="8"/>
  <c r="Q8" i="8" s="1"/>
  <c r="J9" i="8"/>
  <c r="J12" i="8"/>
  <c r="J13" i="8"/>
  <c r="J2" i="8"/>
  <c r="Q2" i="8" s="1"/>
  <c r="H3" i="8"/>
  <c r="J3" i="8" s="1"/>
  <c r="K3" i="8" s="1"/>
  <c r="L3" i="8" s="1"/>
  <c r="P6" i="8"/>
  <c r="P3" i="8"/>
  <c r="M3" i="8" l="1"/>
  <c r="N3" i="8" s="1"/>
  <c r="K12" i="8"/>
  <c r="L12" i="8" s="1"/>
  <c r="M12" i="8" s="1"/>
  <c r="Q12" i="8"/>
  <c r="Q13" i="8"/>
  <c r="K13" i="8"/>
  <c r="L13" i="8" s="1"/>
  <c r="M13" i="8" s="1"/>
  <c r="I33" i="8"/>
  <c r="E3" i="5" s="1"/>
  <c r="H33" i="8"/>
  <c r="E5" i="5" s="1"/>
  <c r="K2" i="8"/>
  <c r="L2" i="8" s="1"/>
  <c r="M2" i="8" s="1"/>
  <c r="J33" i="8"/>
  <c r="K10" i="8"/>
  <c r="L10" i="8" s="1"/>
  <c r="G33" i="8"/>
  <c r="E2" i="5" s="1"/>
  <c r="K5" i="8"/>
  <c r="L5" i="8" s="1"/>
  <c r="K9" i="8"/>
  <c r="L9" i="8" s="1"/>
  <c r="M9" i="8" s="1"/>
  <c r="K7" i="8"/>
  <c r="L7" i="8" s="1"/>
  <c r="M7" i="8" s="1"/>
  <c r="K6" i="8"/>
  <c r="L6" i="8" s="1"/>
  <c r="M6" i="8" s="1"/>
  <c r="Q9" i="8"/>
  <c r="K4" i="8"/>
  <c r="K8" i="8"/>
  <c r="L8" i="8" s="1"/>
  <c r="M8" i="8" s="1"/>
  <c r="P33" i="8"/>
  <c r="Q6" i="8"/>
  <c r="Q3" i="8"/>
  <c r="E4" i="5" l="1"/>
  <c r="E6" i="5" s="1"/>
  <c r="M10" i="8"/>
  <c r="M37" i="8" s="1"/>
  <c r="I34" i="8"/>
  <c r="K33" i="8"/>
  <c r="E7" i="5" s="1"/>
  <c r="L4" i="8"/>
  <c r="L33" i="8" s="1"/>
  <c r="Q33" i="8"/>
  <c r="E8" i="5" l="1"/>
  <c r="M4" i="8"/>
  <c r="N5" i="8" s="1"/>
  <c r="G32" i="2" l="1"/>
  <c r="B5" i="5" s="1"/>
  <c r="J15" i="4" l="1"/>
  <c r="Q15" i="4" s="1"/>
  <c r="K15" i="4" l="1"/>
  <c r="L15" i="4" s="1"/>
  <c r="M15" i="4" s="1"/>
  <c r="P13" i="4"/>
  <c r="P12" i="4"/>
  <c r="I11" i="4" l="1"/>
  <c r="M9" i="4" l="1"/>
  <c r="J9" i="4" l="1"/>
  <c r="K9" i="4" s="1"/>
  <c r="Q4" i="3"/>
  <c r="J4" i="4" l="1"/>
  <c r="J5" i="4"/>
  <c r="J6" i="4"/>
  <c r="J7" i="4"/>
  <c r="J8" i="4"/>
  <c r="L9" i="4"/>
  <c r="J10" i="4"/>
  <c r="J11" i="4"/>
  <c r="J12" i="4"/>
  <c r="J13" i="4"/>
  <c r="J14" i="4"/>
  <c r="J2" i="4"/>
  <c r="H33" i="3"/>
  <c r="C5" i="5" s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" i="3"/>
  <c r="J4" i="2"/>
  <c r="J5" i="2"/>
  <c r="J6" i="2"/>
  <c r="J7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" i="2"/>
  <c r="Q12" i="4" l="1"/>
  <c r="K12" i="4"/>
  <c r="L12" i="4" s="1"/>
  <c r="Q13" i="4"/>
  <c r="K13" i="4"/>
  <c r="L13" i="4" s="1"/>
  <c r="N13" i="4" s="1"/>
  <c r="K14" i="4"/>
  <c r="L14" i="4" s="1"/>
  <c r="Q14" i="4"/>
  <c r="K11" i="4"/>
  <c r="L11" i="4" s="1"/>
  <c r="M11" i="4" s="1"/>
  <c r="Q11" i="4"/>
  <c r="Q10" i="4"/>
  <c r="K10" i="4"/>
  <c r="L10" i="4" s="1"/>
  <c r="Q9" i="4"/>
  <c r="I32" i="4"/>
  <c r="D3" i="5" s="1"/>
  <c r="P8" i="4"/>
  <c r="Q8" i="4" s="1"/>
  <c r="K8" i="4"/>
  <c r="L8" i="4" s="1"/>
  <c r="Q7" i="4"/>
  <c r="M14" i="4" l="1"/>
  <c r="N14" i="4" s="1"/>
  <c r="K7" i="4"/>
  <c r="P6" i="4"/>
  <c r="P32" i="4" s="1"/>
  <c r="Q6" i="4" l="1"/>
  <c r="L7" i="4"/>
  <c r="M7" i="4" s="1"/>
  <c r="K6" i="4"/>
  <c r="L6" i="4" s="1"/>
  <c r="M6" i="4" s="1"/>
  <c r="Q5" i="4" l="1"/>
  <c r="K5" i="4"/>
  <c r="L5" i="4" s="1"/>
  <c r="M5" i="4" s="1"/>
  <c r="H3" i="4"/>
  <c r="H32" i="4" s="1"/>
  <c r="D5" i="5" s="1"/>
  <c r="N5" i="5" s="1"/>
  <c r="Q2" i="4"/>
  <c r="G3" i="4"/>
  <c r="J3" i="4" l="1"/>
  <c r="Q3" i="4" s="1"/>
  <c r="G32" i="4"/>
  <c r="D2" i="5" s="1"/>
  <c r="D4" i="5" s="1"/>
  <c r="D6" i="5" s="1"/>
  <c r="Q4" i="4"/>
  <c r="K4" i="4"/>
  <c r="N7" i="4"/>
  <c r="N8" i="4"/>
  <c r="N11" i="4"/>
  <c r="N12" i="4"/>
  <c r="J32" i="4" l="1"/>
  <c r="Q32" i="4" s="1"/>
  <c r="D7" i="5"/>
  <c r="L4" i="4"/>
  <c r="M4" i="4" s="1"/>
  <c r="K3" i="4"/>
  <c r="L3" i="4" l="1"/>
  <c r="M3" i="4" s="1"/>
  <c r="N4" i="4"/>
  <c r="K2" i="4"/>
  <c r="L2" i="4" s="1"/>
  <c r="M2" i="4" s="1"/>
  <c r="M32" i="4" l="1"/>
  <c r="N32" i="4"/>
  <c r="I33" i="4"/>
  <c r="L32" i="4" l="1"/>
  <c r="K32" i="4"/>
  <c r="Q6" i="3"/>
  <c r="L11" i="3"/>
  <c r="M11" i="3" s="1"/>
  <c r="D8" i="5" l="1"/>
  <c r="R9" i="3"/>
  <c r="L9" i="3"/>
  <c r="M9" i="3" s="1"/>
  <c r="Q10" i="3"/>
  <c r="R10" i="3" s="1"/>
  <c r="R8" i="3"/>
  <c r="L8" i="3"/>
  <c r="M8" i="3" s="1"/>
  <c r="N33" i="3"/>
  <c r="Q7" i="3"/>
  <c r="L10" i="3" l="1"/>
  <c r="M10" i="3" s="1"/>
  <c r="L7" i="3"/>
  <c r="L6" i="3"/>
  <c r="M7" i="3" l="1"/>
  <c r="R7" i="3"/>
  <c r="R6" i="3"/>
  <c r="M6" i="3"/>
  <c r="L5" i="3" l="1"/>
  <c r="R4" i="3"/>
  <c r="M5" i="3" l="1"/>
  <c r="R5" i="3" s="1"/>
  <c r="L4" i="3"/>
  <c r="M4" i="3" s="1"/>
  <c r="Q33" i="3" l="1"/>
  <c r="I33" i="3"/>
  <c r="C2" i="5" s="1"/>
  <c r="L32" i="3"/>
  <c r="L30" i="3"/>
  <c r="M30" i="3" s="1"/>
  <c r="L28" i="3"/>
  <c r="L27" i="3"/>
  <c r="M27" i="3" s="1"/>
  <c r="L22" i="3"/>
  <c r="M22" i="3" s="1"/>
  <c r="L19" i="3"/>
  <c r="M19" i="3" s="1"/>
  <c r="L17" i="3"/>
  <c r="O32" i="2"/>
  <c r="K12" i="2"/>
  <c r="I8" i="2"/>
  <c r="K4" i="2"/>
  <c r="L4" i="2" s="1"/>
  <c r="K5" i="2"/>
  <c r="L5" i="2" s="1"/>
  <c r="L6" i="2"/>
  <c r="L7" i="2"/>
  <c r="K10" i="2"/>
  <c r="K11" i="2"/>
  <c r="K13" i="2"/>
  <c r="L13" i="2" s="1"/>
  <c r="K14" i="2"/>
  <c r="L14" i="2" s="1"/>
  <c r="K15" i="2"/>
  <c r="L15" i="2" s="1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6" i="2"/>
  <c r="L26" i="2" s="1"/>
  <c r="K27" i="2"/>
  <c r="K28" i="2"/>
  <c r="L28" i="2" s="1"/>
  <c r="K29" i="2"/>
  <c r="L29" i="2" s="1"/>
  <c r="K30" i="2"/>
  <c r="L30" i="2" s="1"/>
  <c r="K31" i="2"/>
  <c r="L31" i="2" s="1"/>
  <c r="K16" i="2"/>
  <c r="L16" i="2" s="1"/>
  <c r="K17" i="2"/>
  <c r="L17" i="2" s="1"/>
  <c r="K25" i="2"/>
  <c r="H9" i="2"/>
  <c r="P3" i="2"/>
  <c r="J8" i="2" l="1"/>
  <c r="P8" i="2" s="1"/>
  <c r="H32" i="2"/>
  <c r="B2" i="5" s="1"/>
  <c r="J9" i="2"/>
  <c r="M32" i="3"/>
  <c r="R3" i="3"/>
  <c r="L3" i="3"/>
  <c r="M3" i="3" s="1"/>
  <c r="K33" i="3"/>
  <c r="L25" i="3"/>
  <c r="M25" i="3" s="1"/>
  <c r="J33" i="3"/>
  <c r="M17" i="3"/>
  <c r="L20" i="3"/>
  <c r="M20" i="3" s="1"/>
  <c r="L15" i="3"/>
  <c r="M15" i="3" s="1"/>
  <c r="L23" i="3"/>
  <c r="M23" i="3" s="1"/>
  <c r="M28" i="3"/>
  <c r="L31" i="3"/>
  <c r="M31" i="3" s="1"/>
  <c r="L18" i="3"/>
  <c r="M18" i="3" s="1"/>
  <c r="L26" i="3"/>
  <c r="M26" i="3" s="1"/>
  <c r="O33" i="3"/>
  <c r="L21" i="3"/>
  <c r="M21" i="3" s="1"/>
  <c r="L29" i="3"/>
  <c r="M29" i="3" s="1"/>
  <c r="L16" i="3"/>
  <c r="M16" i="3" s="1"/>
  <c r="L24" i="3"/>
  <c r="M24" i="3" s="1"/>
  <c r="P4" i="2"/>
  <c r="K3" i="2"/>
  <c r="L3" i="2" s="1"/>
  <c r="P5" i="2"/>
  <c r="K24" i="2"/>
  <c r="L24" i="2" s="1"/>
  <c r="P6" i="2"/>
  <c r="P11" i="2"/>
  <c r="L12" i="2"/>
  <c r="L25" i="2"/>
  <c r="L27" i="2"/>
  <c r="I32" i="2"/>
  <c r="B3" i="5" s="1"/>
  <c r="L11" i="2"/>
  <c r="L10" i="2"/>
  <c r="B4" i="5" l="1"/>
  <c r="B6" i="5" s="1"/>
  <c r="C3" i="5"/>
  <c r="C4" i="5" s="1"/>
  <c r="C6" i="5" s="1"/>
  <c r="C7" i="5" s="1"/>
  <c r="K8" i="2"/>
  <c r="L8" i="2" s="1"/>
  <c r="M33" i="3"/>
  <c r="J34" i="3"/>
  <c r="R33" i="3"/>
  <c r="L33" i="3"/>
  <c r="K9" i="2"/>
  <c r="L9" i="2" s="1"/>
  <c r="P9" i="2"/>
  <c r="M32" i="2"/>
  <c r="J32" i="2"/>
  <c r="P32" i="2" s="1"/>
  <c r="C8" i="5" l="1"/>
  <c r="L32" i="2"/>
  <c r="K32" i="2"/>
  <c r="B7" i="5" s="1"/>
  <c r="I33" i="2"/>
  <c r="B8" i="5" l="1"/>
  <c r="M33" i="8" l="1"/>
  <c r="N2" i="8"/>
  <c r="N33" i="8" l="1"/>
  <c r="G2" i="10" l="1"/>
  <c r="G26" i="10" l="1"/>
  <c r="G2" i="5" s="1"/>
  <c r="N2" i="5" l="1"/>
  <c r="I2" i="10" l="1"/>
  <c r="I26" i="10" l="1"/>
  <c r="J2" i="10"/>
  <c r="K2" i="10" l="1"/>
  <c r="K26" i="10" s="1"/>
  <c r="G7" i="5" s="1"/>
  <c r="N7" i="5" s="1"/>
  <c r="J26" i="10"/>
  <c r="Q26" i="10" s="1"/>
  <c r="G3" i="5"/>
  <c r="I27" i="10"/>
  <c r="L2" i="10" l="1"/>
  <c r="N2" i="10" s="1"/>
  <c r="N3" i="5"/>
  <c r="O3" i="5" s="1"/>
  <c r="G4" i="5"/>
  <c r="L26" i="10" l="1"/>
  <c r="G6" i="5"/>
  <c r="N4" i="5"/>
  <c r="N26" i="10"/>
  <c r="G17" i="5"/>
  <c r="N17" i="5" l="1"/>
  <c r="G21" i="5"/>
  <c r="N21" i="5" s="1"/>
  <c r="N6" i="5"/>
  <c r="G8" i="5"/>
  <c r="N8" i="5" s="1"/>
  <c r="O21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SAMIR</author>
  </authors>
  <commentList>
    <comment ref="C3" authorId="0" shapeId="0" xr:uid="{4F4649DC-0088-4FC6-89E2-F794F4D37F9E}">
      <text>
        <r>
          <rPr>
            <b/>
            <sz val="9"/>
            <color indexed="81"/>
            <rFont val="Tahoma"/>
            <family val="2"/>
          </rPr>
          <t>SAMIR: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Aptos"/>
            <family val="2"/>
          </rPr>
          <t xml:space="preserve">We sent the worng product and hence the client could not use , so we remove the rent for the same product from bill. </t>
        </r>
      </text>
    </comment>
  </commentList>
</comments>
</file>

<file path=xl/sharedStrings.xml><?xml version="1.0" encoding="utf-8"?>
<sst xmlns="http://schemas.openxmlformats.org/spreadsheetml/2006/main" count="388" uniqueCount="172">
  <si>
    <t>Company/Client Name</t>
  </si>
  <si>
    <t>Contact Detail</t>
  </si>
  <si>
    <t>Date</t>
  </si>
  <si>
    <t>GST 18%</t>
  </si>
  <si>
    <t>Payment Type</t>
  </si>
  <si>
    <t>Irfan Pabaney</t>
  </si>
  <si>
    <t>11th Jan</t>
  </si>
  <si>
    <t>Ms Khayal /Americano</t>
  </si>
  <si>
    <t>15th Jan</t>
  </si>
  <si>
    <t xml:space="preserve">Bar Baraati </t>
  </si>
  <si>
    <t xml:space="preserve">20th Jan </t>
  </si>
  <si>
    <t xml:space="preserve">Discount </t>
  </si>
  <si>
    <t xml:space="preserve">Rohan Timblo </t>
  </si>
  <si>
    <t xml:space="preserve">Natasha Mehta </t>
  </si>
  <si>
    <t xml:space="preserve">7th Jan </t>
  </si>
  <si>
    <t xml:space="preserve">22nd Jan </t>
  </si>
  <si>
    <t xml:space="preserve">Gross Revenue </t>
  </si>
  <si>
    <t xml:space="preserve">Rental value </t>
  </si>
  <si>
    <t xml:space="preserve">23rd Jan </t>
  </si>
  <si>
    <t>Invoice no</t>
  </si>
  <si>
    <t xml:space="preserve">Payment Pending  </t>
  </si>
  <si>
    <t>Sr No</t>
  </si>
  <si>
    <t>25th Jan</t>
  </si>
  <si>
    <t xml:space="preserve">Sage &amp; Saffon </t>
  </si>
  <si>
    <t xml:space="preserve">Comments </t>
  </si>
  <si>
    <t xml:space="preserve">Breakage </t>
  </si>
  <si>
    <t>cash</t>
  </si>
  <si>
    <t xml:space="preserve">In Account </t>
  </si>
  <si>
    <t xml:space="preserve">Purchase unit value </t>
  </si>
  <si>
    <t>ROI %</t>
  </si>
  <si>
    <t xml:space="preserve">Corp Account </t>
  </si>
  <si>
    <t xml:space="preserve">Samir </t>
  </si>
  <si>
    <t xml:space="preserve">1st </t>
  </si>
  <si>
    <t xml:space="preserve">Higher Discount </t>
  </si>
  <si>
    <t xml:space="preserve">15th </t>
  </si>
  <si>
    <t xml:space="preserve">Bar Barati </t>
  </si>
  <si>
    <t xml:space="preserve">Sapna Bajaj </t>
  </si>
  <si>
    <t xml:space="preserve">21st Feb </t>
  </si>
  <si>
    <t xml:space="preserve">Advance Payment </t>
  </si>
  <si>
    <t xml:space="preserve">Samantha Noroaha </t>
  </si>
  <si>
    <t>Amal (Sage and olio)</t>
  </si>
  <si>
    <t>28th Feb to 2nd Mar</t>
  </si>
  <si>
    <t>Natasha Mehta</t>
  </si>
  <si>
    <t xml:space="preserve">25th Feb </t>
  </si>
  <si>
    <t xml:space="preserve">Eat Drink Design </t>
  </si>
  <si>
    <t xml:space="preserve">27th Feb </t>
  </si>
  <si>
    <t>We are Wholesum</t>
  </si>
  <si>
    <t xml:space="preserve">7th March </t>
  </si>
  <si>
    <t xml:space="preserve">Mg Street </t>
  </si>
  <si>
    <t xml:space="preserve">2nd  &amp; 3rd March </t>
  </si>
  <si>
    <t xml:space="preserve">Rohan timblo </t>
  </si>
  <si>
    <t xml:space="preserve">6th March </t>
  </si>
  <si>
    <t xml:space="preserve">5th March </t>
  </si>
  <si>
    <t xml:space="preserve">10th March </t>
  </si>
  <si>
    <t xml:space="preserve">Discount on Rent  </t>
  </si>
  <si>
    <t xml:space="preserve">17th March </t>
  </si>
  <si>
    <t xml:space="preserve">12th March </t>
  </si>
  <si>
    <t xml:space="preserve">Company </t>
  </si>
  <si>
    <t>Jan</t>
  </si>
  <si>
    <t>Feb</t>
  </si>
  <si>
    <t xml:space="preserve">March </t>
  </si>
  <si>
    <t xml:space="preserve">Payment Recived </t>
  </si>
  <si>
    <t>April</t>
  </si>
  <si>
    <t>May</t>
  </si>
  <si>
    <t xml:space="preserve">June </t>
  </si>
  <si>
    <t>July</t>
  </si>
  <si>
    <t>Aug</t>
  </si>
  <si>
    <t>Sep</t>
  </si>
  <si>
    <t>Oct</t>
  </si>
  <si>
    <t>Nov</t>
  </si>
  <si>
    <t xml:space="preserve">Dec </t>
  </si>
  <si>
    <t xml:space="preserve">Total </t>
  </si>
  <si>
    <t xml:space="preserve">16th March </t>
  </si>
  <si>
    <t xml:space="preserve">GST </t>
  </si>
  <si>
    <t xml:space="preserve">Rev Breakage </t>
  </si>
  <si>
    <t xml:space="preserve">Rent </t>
  </si>
  <si>
    <t>Total Rev before GST</t>
  </si>
  <si>
    <t xml:space="preserve">Total Rev </t>
  </si>
  <si>
    <t>Total Rev</t>
  </si>
  <si>
    <t xml:space="preserve">Gross Rev </t>
  </si>
  <si>
    <t xml:space="preserve">Rev Rent </t>
  </si>
  <si>
    <t>Revenue Sumarry</t>
  </si>
  <si>
    <t xml:space="preserve">Pending Payments </t>
  </si>
  <si>
    <t xml:space="preserve">Nine Hospitality </t>
  </si>
  <si>
    <t xml:space="preserve">22nd March </t>
  </si>
  <si>
    <t xml:space="preserve">Naksha Firoz </t>
  </si>
  <si>
    <t>Net Rev</t>
  </si>
  <si>
    <t>Rent Rev</t>
  </si>
  <si>
    <t xml:space="preserve">Zene Hospitality </t>
  </si>
  <si>
    <t>Sapna Bajaj</t>
  </si>
  <si>
    <t xml:space="preserve">25th March </t>
  </si>
  <si>
    <t xml:space="preserve">26th March </t>
  </si>
  <si>
    <t>Foodies Hospitality LLP</t>
  </si>
  <si>
    <t xml:space="preserve">personal </t>
  </si>
  <si>
    <t xml:space="preserve">1st April </t>
  </si>
  <si>
    <t xml:space="preserve">Corporate account </t>
  </si>
  <si>
    <t xml:space="preserve">5th April </t>
  </si>
  <si>
    <t>Elior Gokul</t>
  </si>
  <si>
    <t>Nine</t>
  </si>
  <si>
    <t xml:space="preserve">12th April </t>
  </si>
  <si>
    <t xml:space="preserve">Elior Hospitality </t>
  </si>
  <si>
    <t xml:space="preserve">24th and 25th April </t>
  </si>
  <si>
    <t>12th  April</t>
  </si>
  <si>
    <t xml:space="preserve">Mag street </t>
  </si>
  <si>
    <t xml:space="preserve">27th April </t>
  </si>
  <si>
    <t>Yolo (Naveen)</t>
  </si>
  <si>
    <t>18th April</t>
  </si>
  <si>
    <t>24th April</t>
  </si>
  <si>
    <t xml:space="preserve">Soma </t>
  </si>
  <si>
    <t xml:space="preserve">28th April </t>
  </si>
  <si>
    <t xml:space="preserve">Nesco </t>
  </si>
  <si>
    <t>Sage &amp; Olio</t>
  </si>
  <si>
    <t xml:space="preserve">2nd May </t>
  </si>
  <si>
    <t xml:space="preserve">corp account </t>
  </si>
  <si>
    <t xml:space="preserve">WHOA Mama Hospitality </t>
  </si>
  <si>
    <t xml:space="preserve">3rd May </t>
  </si>
  <si>
    <t xml:space="preserve">Etlior </t>
  </si>
  <si>
    <t xml:space="preserve">7th May </t>
  </si>
  <si>
    <t xml:space="preserve">Shalimar hotel </t>
  </si>
  <si>
    <t xml:space="preserve">GST Number </t>
  </si>
  <si>
    <t>27AABCS7887H1ZS</t>
  </si>
  <si>
    <t>27AAGFE2060C1ZY</t>
  </si>
  <si>
    <t>27AAEFW0390B1ZF</t>
  </si>
  <si>
    <t>27ADUFS8750Q1ZQ</t>
  </si>
  <si>
    <t>27BNXPP8213P1ZV</t>
  </si>
  <si>
    <t>27AAACN1222E1Z3</t>
  </si>
  <si>
    <t>27AABFY6348J1ZP</t>
  </si>
  <si>
    <t>27AARFN8911G1ZU</t>
  </si>
  <si>
    <t>27AABCF4192L1ZC</t>
  </si>
  <si>
    <t>27AAKCC4172E1ZP</t>
  </si>
  <si>
    <t>27AACCE9284F1ZE</t>
  </si>
  <si>
    <t>27AACCZ2784R1ZD</t>
  </si>
  <si>
    <t>27AAEFP4977H1ZT</t>
  </si>
  <si>
    <t>27AAEFF1696H1Z9</t>
  </si>
  <si>
    <t>27AADFW6639C1Z2</t>
  </si>
  <si>
    <t>27AKXPP5257F1ZH</t>
  </si>
  <si>
    <t>Verve Hospitality</t>
  </si>
  <si>
    <t xml:space="preserve">16th May </t>
  </si>
  <si>
    <t xml:space="preserve">Naksha </t>
  </si>
  <si>
    <t xml:space="preserve">5th May to 10th May </t>
  </si>
  <si>
    <t xml:space="preserve">Charger </t>
  </si>
  <si>
    <t xml:space="preserve">Wite side </t>
  </si>
  <si>
    <t xml:space="preserve">glass and blue </t>
  </si>
  <si>
    <t xml:space="preserve">Brown platter </t>
  </si>
  <si>
    <t xml:space="preserve">Gold mono </t>
  </si>
  <si>
    <t xml:space="preserve">Rate Per Unit </t>
  </si>
  <si>
    <t>Units</t>
  </si>
  <si>
    <t xml:space="preserve">Products </t>
  </si>
  <si>
    <t xml:space="preserve">One bowl / stand for offcie table </t>
  </si>
  <si>
    <t>GST @18%</t>
  </si>
  <si>
    <t xml:space="preserve">Total amt cheque given </t>
  </si>
  <si>
    <t xml:space="preserve">27th May </t>
  </si>
  <si>
    <t xml:space="preserve">Foodies Hospitality </t>
  </si>
  <si>
    <t xml:space="preserve">Sage &amp; Saffron </t>
  </si>
  <si>
    <t xml:space="preserve">24th May </t>
  </si>
  <si>
    <t xml:space="preserve">Sage and Saffron </t>
  </si>
  <si>
    <t>27AAHCG4388B1ZK</t>
  </si>
  <si>
    <t>GRITTY FOODWORKS PRIVATE LIMITED</t>
  </si>
  <si>
    <t xml:space="preserve">Orta Restaurant Amricano </t>
  </si>
  <si>
    <t>27AAHFE1614M1ZE</t>
  </si>
  <si>
    <t xml:space="preserve">30th </t>
  </si>
  <si>
    <t xml:space="preserve">Amal </t>
  </si>
  <si>
    <t>sage and Olio</t>
  </si>
  <si>
    <t>Otra Restaurant</t>
  </si>
  <si>
    <t xml:space="preserve">Gross Rev Before GST </t>
  </si>
  <si>
    <t>Iteeha Hospitality</t>
  </si>
  <si>
    <t>27AAHCI3079B1ZO</t>
  </si>
  <si>
    <t xml:space="preserve">Pooja Hiremath </t>
  </si>
  <si>
    <t xml:space="preserve">Pooja Herimath </t>
  </si>
  <si>
    <t>Nine Rental</t>
  </si>
  <si>
    <t xml:space="preserve">1st  </t>
  </si>
  <si>
    <t xml:space="preserve">30th 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</si>
</sst>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i/>
      <sz val="10"/>
      <color theme="1"/>
      <name val="Aptos"/>
      <family val="2"/>
    </font>
    <font>
      <sz val="10"/>
      <color rgb="FFFF0000"/>
      <name val="Aptos"/>
      <family val="2"/>
    </font>
    <font>
      <sz val="10"/>
      <name val="Aptos"/>
      <family val="2"/>
    </font>
    <font>
      <sz val="11"/>
      <color indexed="81"/>
      <name val="Aptos"/>
      <family val="2"/>
    </font>
    <font>
      <sz val="10"/>
      <color rgb="FF00B050"/>
      <name val="Aptos"/>
      <family val="2"/>
    </font>
    <font>
      <b/>
      <sz val="10"/>
      <color rgb="FF00B050"/>
      <name val="Aptos"/>
      <family val="2"/>
    </font>
    <font>
      <b/>
      <i/>
      <sz val="9"/>
      <color theme="1"/>
      <name val="Aptos"/>
      <family val="2"/>
    </font>
    <font>
      <b/>
      <i/>
      <sz val="9"/>
      <color rgb="FFFF0000"/>
      <name val="Aptos"/>
      <family val="2"/>
    </font>
    <font>
      <i/>
      <sz val="9"/>
      <color theme="1"/>
      <name val="Aptos"/>
      <family val="2"/>
    </font>
    <font>
      <i/>
      <sz val="9"/>
      <color theme="1"/>
      <name val="Calibri"/>
      <family val="2"/>
      <scheme val="minor"/>
    </font>
    <font>
      <i/>
      <sz val="9"/>
      <color rgb="FFFF0000"/>
      <name val="Aptos"/>
      <family val="2"/>
    </font>
    <font>
      <b/>
      <i/>
      <sz val="9"/>
      <color theme="1"/>
      <name val="Calibri"/>
      <family val="2"/>
      <scheme val="minor"/>
    </font>
    <font>
      <i/>
      <sz val="9"/>
      <name val="Aptos"/>
      <family val="2"/>
    </font>
    <font>
      <i/>
      <sz val="10"/>
      <name val="Aptos"/>
      <family val="2"/>
    </font>
    <font>
      <b/>
      <sz val="10"/>
      <name val="Aptos"/>
      <family val="2"/>
    </font>
    <font>
      <b/>
      <sz val="10"/>
      <color rgb="FFFF0000"/>
      <name val="Aptos"/>
      <family val="2"/>
    </font>
    <font>
      <b/>
      <sz val="8"/>
      <color rgb="FF000000"/>
      <name val="Aptos"/>
      <family val="2"/>
    </font>
    <font>
      <b/>
      <sz val="8"/>
      <color rgb="FF333F4F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i/>
      <sz val="9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9">
    <xf numFmtId="0" fontId="0" fillId="0" borderId="0" xfId="0"/>
    <xf numFmtId="0" fontId="4" fillId="2" borderId="6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0" borderId="0" xfId="0" applyFont="1"/>
    <xf numFmtId="0" fontId="5" fillId="0" borderId="9" xfId="0" applyFont="1" applyBorder="1"/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1" xfId="0" applyFont="1" applyBorder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43" fontId="7" fillId="0" borderId="0" xfId="0" applyNumberFormat="1" applyFont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4" fontId="4" fillId="3" borderId="4" xfId="1" applyNumberFormat="1" applyFont="1" applyFill="1" applyBorder="1" applyAlignment="1">
      <alignment horizontal="center"/>
    </xf>
    <xf numFmtId="164" fontId="5" fillId="0" borderId="13" xfId="1" applyNumberFormat="1" applyFont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164" fontId="5" fillId="0" borderId="13" xfId="1" applyNumberFormat="1" applyFont="1" applyFill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64" fontId="5" fillId="0" borderId="14" xfId="1" applyNumberFormat="1" applyFont="1" applyBorder="1" applyAlignment="1">
      <alignment horizontal="center"/>
    </xf>
    <xf numFmtId="164" fontId="4" fillId="3" borderId="16" xfId="1" applyNumberFormat="1" applyFont="1" applyFill="1" applyBorder="1" applyAlignment="1">
      <alignment horizontal="center"/>
    </xf>
    <xf numFmtId="164" fontId="5" fillId="0" borderId="0" xfId="0" applyNumberFormat="1" applyFont="1"/>
    <xf numFmtId="43" fontId="5" fillId="0" borderId="0" xfId="0" applyNumberFormat="1" applyFont="1"/>
    <xf numFmtId="0" fontId="4" fillId="2" borderId="18" xfId="0" applyFont="1" applyFill="1" applyBorder="1" applyAlignment="1">
      <alignment horizontal="center"/>
    </xf>
    <xf numFmtId="164" fontId="5" fillId="0" borderId="19" xfId="1" applyNumberFormat="1" applyFont="1" applyBorder="1" applyAlignment="1">
      <alignment horizontal="center"/>
    </xf>
    <xf numFmtId="164" fontId="5" fillId="0" borderId="19" xfId="1" applyNumberFormat="1" applyFont="1" applyFill="1" applyBorder="1" applyAlignment="1">
      <alignment horizontal="center"/>
    </xf>
    <xf numFmtId="164" fontId="5" fillId="0" borderId="20" xfId="1" applyNumberFormat="1" applyFont="1" applyBorder="1" applyAlignment="1">
      <alignment horizontal="center"/>
    </xf>
    <xf numFmtId="164" fontId="4" fillId="3" borderId="21" xfId="1" applyNumberFormat="1" applyFont="1" applyFill="1" applyBorder="1" applyAlignment="1">
      <alignment horizontal="center"/>
    </xf>
    <xf numFmtId="9" fontId="5" fillId="0" borderId="10" xfId="1" applyNumberFormat="1" applyFont="1" applyBorder="1" applyAlignment="1">
      <alignment horizontal="center"/>
    </xf>
    <xf numFmtId="9" fontId="5" fillId="0" borderId="10" xfId="1" applyNumberFormat="1" applyFont="1" applyFill="1" applyBorder="1" applyAlignment="1">
      <alignment horizontal="center"/>
    </xf>
    <xf numFmtId="9" fontId="5" fillId="0" borderId="15" xfId="1" applyNumberFormat="1" applyFont="1" applyBorder="1" applyAlignment="1">
      <alignment horizontal="center"/>
    </xf>
    <xf numFmtId="9" fontId="4" fillId="3" borderId="5" xfId="1" applyNumberFormat="1" applyFont="1" applyFill="1" applyBorder="1" applyAlignment="1">
      <alignment horizontal="center"/>
    </xf>
    <xf numFmtId="43" fontId="5" fillId="0" borderId="0" xfId="0" applyNumberFormat="1" applyFont="1" applyAlignment="1">
      <alignment horizontal="center"/>
    </xf>
    <xf numFmtId="0" fontId="8" fillId="0" borderId="9" xfId="0" applyFont="1" applyBorder="1"/>
    <xf numFmtId="0" fontId="8" fillId="0" borderId="1" xfId="0" applyFont="1" applyBorder="1" applyAlignment="1">
      <alignment horizontal="center"/>
    </xf>
    <xf numFmtId="164" fontId="8" fillId="0" borderId="1" xfId="1" applyNumberFormat="1" applyFont="1" applyFill="1" applyBorder="1" applyAlignment="1">
      <alignment horizontal="center"/>
    </xf>
    <xf numFmtId="164" fontId="8" fillId="0" borderId="13" xfId="1" applyNumberFormat="1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164" fontId="8" fillId="0" borderId="19" xfId="1" applyNumberFormat="1" applyFont="1" applyFill="1" applyBorder="1" applyAlignment="1">
      <alignment horizontal="center"/>
    </xf>
    <xf numFmtId="9" fontId="8" fillId="0" borderId="10" xfId="1" applyNumberFormat="1" applyFont="1" applyFill="1" applyBorder="1" applyAlignment="1">
      <alignment horizontal="center"/>
    </xf>
    <xf numFmtId="43" fontId="0" fillId="0" borderId="0" xfId="0" applyNumberFormat="1"/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5" fillId="0" borderId="1" xfId="1" applyNumberFormat="1" applyFont="1" applyBorder="1" applyAlignment="1">
      <alignment horizontal="left"/>
    </xf>
    <xf numFmtId="164" fontId="7" fillId="0" borderId="13" xfId="1" applyNumberFormat="1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164" fontId="5" fillId="0" borderId="19" xfId="1" applyNumberFormat="1" applyFont="1" applyBorder="1" applyAlignment="1">
      <alignment horizontal="left"/>
    </xf>
    <xf numFmtId="9" fontId="5" fillId="0" borderId="10" xfId="1" applyNumberFormat="1" applyFont="1" applyBorder="1" applyAlignment="1">
      <alignment horizontal="left"/>
    </xf>
    <xf numFmtId="164" fontId="5" fillId="0" borderId="13" xfId="1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8" fillId="0" borderId="1" xfId="1" applyNumberFormat="1" applyFont="1" applyFill="1" applyBorder="1" applyAlignment="1">
      <alignment horizontal="left"/>
    </xf>
    <xf numFmtId="164" fontId="8" fillId="0" borderId="13" xfId="1" applyNumberFormat="1" applyFont="1" applyFill="1" applyBorder="1" applyAlignment="1">
      <alignment horizontal="left"/>
    </xf>
    <xf numFmtId="0" fontId="8" fillId="0" borderId="10" xfId="0" applyFont="1" applyBorder="1" applyAlignment="1">
      <alignment horizontal="left"/>
    </xf>
    <xf numFmtId="164" fontId="8" fillId="0" borderId="19" xfId="1" applyNumberFormat="1" applyFont="1" applyFill="1" applyBorder="1" applyAlignment="1">
      <alignment horizontal="left"/>
    </xf>
    <xf numFmtId="0" fontId="8" fillId="0" borderId="9" xfId="0" applyFont="1" applyBorder="1" applyAlignment="1">
      <alignment horizontal="left"/>
    </xf>
    <xf numFmtId="9" fontId="8" fillId="0" borderId="10" xfId="1" applyNumberFormat="1" applyFont="1" applyFill="1" applyBorder="1" applyAlignment="1">
      <alignment horizontal="left"/>
    </xf>
    <xf numFmtId="164" fontId="5" fillId="0" borderId="1" xfId="1" applyNumberFormat="1" applyFont="1" applyFill="1" applyBorder="1" applyAlignment="1">
      <alignment horizontal="left"/>
    </xf>
    <xf numFmtId="164" fontId="5" fillId="0" borderId="13" xfId="1" applyNumberFormat="1" applyFont="1" applyFill="1" applyBorder="1" applyAlignment="1">
      <alignment horizontal="left"/>
    </xf>
    <xf numFmtId="164" fontId="5" fillId="0" borderId="19" xfId="1" applyNumberFormat="1" applyFont="1" applyFill="1" applyBorder="1" applyAlignment="1">
      <alignment horizontal="left"/>
    </xf>
    <xf numFmtId="9" fontId="5" fillId="0" borderId="10" xfId="1" applyNumberFormat="1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5" fillId="0" borderId="2" xfId="1" applyNumberFormat="1" applyFont="1" applyBorder="1" applyAlignment="1">
      <alignment horizontal="left"/>
    </xf>
    <xf numFmtId="164" fontId="5" fillId="0" borderId="14" xfId="1" applyNumberFormat="1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164" fontId="5" fillId="0" borderId="20" xfId="1" applyNumberFormat="1" applyFont="1" applyBorder="1" applyAlignment="1">
      <alignment horizontal="left"/>
    </xf>
    <xf numFmtId="9" fontId="5" fillId="0" borderId="15" xfId="1" applyNumberFormat="1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17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164" fontId="4" fillId="3" borderId="4" xfId="1" applyNumberFormat="1" applyFont="1" applyFill="1" applyBorder="1" applyAlignment="1">
      <alignment horizontal="left"/>
    </xf>
    <xf numFmtId="164" fontId="4" fillId="3" borderId="16" xfId="1" applyNumberFormat="1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164" fontId="4" fillId="3" borderId="21" xfId="1" applyNumberFormat="1" applyFont="1" applyFill="1" applyBorder="1" applyAlignment="1">
      <alignment horizontal="left"/>
    </xf>
    <xf numFmtId="9" fontId="4" fillId="3" borderId="5" xfId="1" applyNumberFormat="1" applyFont="1" applyFill="1" applyBorder="1" applyAlignment="1">
      <alignment horizontal="left"/>
    </xf>
    <xf numFmtId="164" fontId="0" fillId="0" borderId="0" xfId="0" applyNumberFormat="1"/>
    <xf numFmtId="164" fontId="8" fillId="0" borderId="1" xfId="1" applyNumberFormat="1" applyFont="1" applyBorder="1" applyAlignment="1">
      <alignment horizontal="left"/>
    </xf>
    <xf numFmtId="164" fontId="7" fillId="0" borderId="13" xfId="1" applyNumberFormat="1" applyFont="1" applyFill="1" applyBorder="1" applyAlignment="1">
      <alignment horizontal="left"/>
    </xf>
    <xf numFmtId="164" fontId="10" fillId="0" borderId="13" xfId="1" applyNumberFormat="1" applyFont="1" applyBorder="1" applyAlignment="1">
      <alignment horizontal="left"/>
    </xf>
    <xf numFmtId="164" fontId="10" fillId="0" borderId="13" xfId="1" applyNumberFormat="1" applyFont="1" applyFill="1" applyBorder="1" applyAlignment="1">
      <alignment horizontal="left"/>
    </xf>
    <xf numFmtId="164" fontId="10" fillId="0" borderId="14" xfId="1" applyNumberFormat="1" applyFont="1" applyBorder="1" applyAlignment="1">
      <alignment horizontal="left"/>
    </xf>
    <xf numFmtId="164" fontId="11" fillId="3" borderId="16" xfId="1" applyNumberFormat="1" applyFont="1" applyFill="1" applyBorder="1" applyAlignment="1">
      <alignment horizontal="left"/>
    </xf>
    <xf numFmtId="43" fontId="12" fillId="0" borderId="6" xfId="1" applyFont="1" applyBorder="1" applyAlignment="1">
      <alignment horizontal="center"/>
    </xf>
    <xf numFmtId="43" fontId="12" fillId="0" borderId="7" xfId="1" applyFont="1" applyBorder="1" applyAlignment="1">
      <alignment horizontal="center"/>
    </xf>
    <xf numFmtId="43" fontId="12" fillId="0" borderId="7" xfId="1" applyFont="1" applyFill="1" applyBorder="1" applyAlignment="1">
      <alignment horizontal="center"/>
    </xf>
    <xf numFmtId="43" fontId="13" fillId="0" borderId="8" xfId="1" applyFont="1" applyBorder="1" applyAlignment="1">
      <alignment horizontal="center"/>
    </xf>
    <xf numFmtId="43" fontId="14" fillId="0" borderId="9" xfId="1" applyFont="1" applyBorder="1" applyAlignment="1">
      <alignment horizontal="center"/>
    </xf>
    <xf numFmtId="164" fontId="14" fillId="0" borderId="1" xfId="1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6" fillId="0" borderId="10" xfId="1" applyNumberFormat="1" applyFont="1" applyBorder="1" applyAlignment="1">
      <alignment horizontal="center"/>
    </xf>
    <xf numFmtId="43" fontId="12" fillId="0" borderId="23" xfId="1" applyFont="1" applyBorder="1" applyAlignment="1">
      <alignment horizontal="center"/>
    </xf>
    <xf numFmtId="164" fontId="12" fillId="0" borderId="24" xfId="1" applyNumberFormat="1" applyFont="1" applyBorder="1" applyAlignment="1">
      <alignment horizontal="center"/>
    </xf>
    <xf numFmtId="164" fontId="17" fillId="0" borderId="24" xfId="0" applyNumberFormat="1" applyFont="1" applyBorder="1" applyAlignment="1">
      <alignment horizontal="center"/>
    </xf>
    <xf numFmtId="164" fontId="13" fillId="0" borderId="25" xfId="1" applyNumberFormat="1" applyFont="1" applyBorder="1" applyAlignment="1">
      <alignment horizontal="center"/>
    </xf>
    <xf numFmtId="43" fontId="18" fillId="0" borderId="1" xfId="1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43" fontId="18" fillId="0" borderId="9" xfId="1" applyFont="1" applyBorder="1" applyAlignment="1">
      <alignment horizontal="center"/>
    </xf>
    <xf numFmtId="43" fontId="18" fillId="0" borderId="23" xfId="1" applyFont="1" applyBorder="1" applyAlignment="1">
      <alignment horizontal="center"/>
    </xf>
    <xf numFmtId="43" fontId="13" fillId="0" borderId="22" xfId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164" fontId="8" fillId="0" borderId="13" xfId="1" applyNumberFormat="1" applyFont="1" applyBorder="1" applyAlignment="1">
      <alignment horizontal="center"/>
    </xf>
    <xf numFmtId="164" fontId="8" fillId="0" borderId="19" xfId="1" applyNumberFormat="1" applyFont="1" applyBorder="1" applyAlignment="1">
      <alignment horizontal="center"/>
    </xf>
    <xf numFmtId="9" fontId="8" fillId="0" borderId="10" xfId="1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9" fontId="8" fillId="0" borderId="10" xfId="1" applyNumberFormat="1" applyFont="1" applyBorder="1" applyAlignment="1">
      <alignment horizontal="left"/>
    </xf>
    <xf numFmtId="0" fontId="20" fillId="2" borderId="7" xfId="0" applyFont="1" applyFill="1" applyBorder="1" applyAlignment="1">
      <alignment horizontal="left"/>
    </xf>
    <xf numFmtId="0" fontId="20" fillId="2" borderId="12" xfId="0" applyFont="1" applyFill="1" applyBorder="1" applyAlignment="1">
      <alignment horizontal="left"/>
    </xf>
    <xf numFmtId="0" fontId="20" fillId="2" borderId="8" xfId="0" applyFont="1" applyFill="1" applyBorder="1" applyAlignment="1">
      <alignment horizontal="left"/>
    </xf>
    <xf numFmtId="0" fontId="20" fillId="2" borderId="18" xfId="0" applyFont="1" applyFill="1" applyBorder="1" applyAlignment="1">
      <alignment horizontal="left"/>
    </xf>
    <xf numFmtId="164" fontId="8" fillId="0" borderId="19" xfId="1" applyNumberFormat="1" applyFont="1" applyBorder="1" applyAlignment="1">
      <alignment horizontal="left"/>
    </xf>
    <xf numFmtId="164" fontId="7" fillId="0" borderId="14" xfId="1" applyNumberFormat="1" applyFont="1" applyBorder="1" applyAlignment="1">
      <alignment horizontal="left"/>
    </xf>
    <xf numFmtId="164" fontId="21" fillId="3" borderId="16" xfId="1" applyNumberFormat="1" applyFont="1" applyFill="1" applyBorder="1" applyAlignment="1">
      <alignment horizontal="left"/>
    </xf>
    <xf numFmtId="9" fontId="4" fillId="3" borderId="22" xfId="1" applyNumberFormat="1" applyFont="1" applyFill="1" applyBorder="1" applyAlignment="1">
      <alignment horizontal="left"/>
    </xf>
    <xf numFmtId="164" fontId="5" fillId="0" borderId="0" xfId="0" applyNumberFormat="1" applyFont="1" applyAlignment="1">
      <alignment horizontal="center"/>
    </xf>
    <xf numFmtId="10" fontId="4" fillId="3" borderId="22" xfId="1" applyNumberFormat="1" applyFont="1" applyFill="1" applyBorder="1" applyAlignment="1">
      <alignment horizontal="center"/>
    </xf>
    <xf numFmtId="0" fontId="5" fillId="0" borderId="26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164" fontId="8" fillId="0" borderId="13" xfId="1" applyNumberFormat="1" applyFont="1" applyBorder="1" applyAlignment="1">
      <alignment horizontal="left"/>
    </xf>
    <xf numFmtId="10" fontId="0" fillId="0" borderId="0" xfId="0" applyNumberFormat="1"/>
    <xf numFmtId="164" fontId="7" fillId="0" borderId="1" xfId="1" applyNumberFormat="1" applyFont="1" applyFill="1" applyBorder="1" applyAlignment="1">
      <alignment horizontal="left"/>
    </xf>
    <xf numFmtId="43" fontId="20" fillId="2" borderId="7" xfId="1" applyFont="1" applyFill="1" applyBorder="1" applyAlignment="1">
      <alignment horizontal="left"/>
    </xf>
    <xf numFmtId="43" fontId="20" fillId="2" borderId="12" xfId="1" applyFont="1" applyFill="1" applyBorder="1" applyAlignment="1">
      <alignment horizontal="left"/>
    </xf>
    <xf numFmtId="43" fontId="20" fillId="2" borderId="8" xfId="1" applyFont="1" applyFill="1" applyBorder="1" applyAlignment="1">
      <alignment horizontal="left"/>
    </xf>
    <xf numFmtId="43" fontId="20" fillId="2" borderId="18" xfId="1" applyFont="1" applyFill="1" applyBorder="1" applyAlignment="1">
      <alignment horizontal="left"/>
    </xf>
    <xf numFmtId="43" fontId="8" fillId="0" borderId="1" xfId="1" applyFont="1" applyBorder="1" applyAlignment="1">
      <alignment horizontal="left"/>
    </xf>
    <xf numFmtId="43" fontId="10" fillId="0" borderId="13" xfId="1" applyFont="1" applyFill="1" applyBorder="1" applyAlignment="1">
      <alignment horizontal="left"/>
    </xf>
    <xf numFmtId="43" fontId="7" fillId="0" borderId="13" xfId="1" applyFont="1" applyBorder="1" applyAlignment="1">
      <alignment horizontal="left"/>
    </xf>
    <xf numFmtId="43" fontId="8" fillId="0" borderId="10" xfId="1" applyFont="1" applyBorder="1" applyAlignment="1">
      <alignment horizontal="left"/>
    </xf>
    <xf numFmtId="43" fontId="8" fillId="0" borderId="19" xfId="1" applyFont="1" applyBorder="1" applyAlignment="1">
      <alignment horizontal="left"/>
    </xf>
    <xf numFmtId="0" fontId="4" fillId="3" borderId="17" xfId="0" applyFont="1" applyFill="1" applyBorder="1" applyAlignment="1">
      <alignment horizontal="center"/>
    </xf>
    <xf numFmtId="43" fontId="0" fillId="0" borderId="0" xfId="1" applyFont="1"/>
    <xf numFmtId="16" fontId="8" fillId="0" borderId="1" xfId="0" applyNumberFormat="1" applyFont="1" applyBorder="1" applyAlignment="1">
      <alignment horizontal="left"/>
    </xf>
    <xf numFmtId="164" fontId="22" fillId="0" borderId="0" xfId="1" applyNumberFormat="1" applyFont="1" applyFill="1" applyBorder="1" applyAlignment="1">
      <alignment vertical="center" wrapText="1"/>
    </xf>
    <xf numFmtId="0" fontId="23" fillId="0" borderId="0" xfId="0" applyFont="1" applyAlignment="1">
      <alignment vertical="center" wrapText="1"/>
    </xf>
    <xf numFmtId="43" fontId="23" fillId="0" borderId="0" xfId="1" applyFont="1" applyFill="1" applyBorder="1" applyAlignment="1">
      <alignment vertical="center" wrapText="1"/>
    </xf>
    <xf numFmtId="0" fontId="24" fillId="0" borderId="1" xfId="0" applyFont="1" applyBorder="1"/>
    <xf numFmtId="0" fontId="25" fillId="0" borderId="1" xfId="0" applyFont="1" applyBorder="1"/>
    <xf numFmtId="164" fontId="24" fillId="0" borderId="1" xfId="1" applyNumberFormat="1" applyFont="1" applyFill="1" applyBorder="1"/>
    <xf numFmtId="164" fontId="0" fillId="0" borderId="1" xfId="1" applyNumberFormat="1" applyFont="1" applyBorder="1"/>
    <xf numFmtId="164" fontId="25" fillId="0" borderId="1" xfId="1" applyNumberFormat="1" applyFont="1" applyFill="1" applyBorder="1"/>
    <xf numFmtId="10" fontId="8" fillId="0" borderId="1" xfId="1" applyNumberFormat="1" applyFont="1" applyBorder="1" applyAlignment="1">
      <alignment horizontal="left"/>
    </xf>
    <xf numFmtId="0" fontId="22" fillId="0" borderId="0" xfId="0" applyFont="1" applyAlignment="1">
      <alignment vertical="center" wrapText="1"/>
    </xf>
    <xf numFmtId="0" fontId="8" fillId="0" borderId="13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18" fillId="0" borderId="24" xfId="1" applyNumberFormat="1" applyFont="1" applyBorder="1" applyAlignment="1">
      <alignment horizontal="center"/>
    </xf>
    <xf numFmtId="164" fontId="18" fillId="0" borderId="24" xfId="1" applyNumberFormat="1" applyFont="1" applyFill="1" applyBorder="1" applyAlignment="1">
      <alignment horizontal="center"/>
    </xf>
    <xf numFmtId="164" fontId="18" fillId="0" borderId="25" xfId="1" applyNumberFormat="1" applyFont="1" applyBorder="1" applyAlignment="1">
      <alignment horizontal="center"/>
    </xf>
    <xf numFmtId="43" fontId="16" fillId="0" borderId="27" xfId="1" applyFont="1" applyBorder="1" applyAlignment="1">
      <alignment horizontal="center"/>
    </xf>
    <xf numFmtId="43" fontId="16" fillId="0" borderId="28" xfId="1" applyFont="1" applyBorder="1" applyAlignment="1">
      <alignment horizontal="center"/>
    </xf>
    <xf numFmtId="43" fontId="16" fillId="0" borderId="28" xfId="1" applyFont="1" applyFill="1" applyBorder="1" applyAlignment="1">
      <alignment horizontal="center"/>
    </xf>
    <xf numFmtId="43" fontId="18" fillId="0" borderId="27" xfId="1" applyFont="1" applyBorder="1" applyAlignment="1">
      <alignment horizontal="center"/>
    </xf>
    <xf numFmtId="43" fontId="18" fillId="0" borderId="28" xfId="1" applyFont="1" applyBorder="1" applyAlignment="1">
      <alignment horizontal="center"/>
    </xf>
    <xf numFmtId="43" fontId="18" fillId="0" borderId="28" xfId="1" applyFont="1" applyFill="1" applyBorder="1" applyAlignment="1">
      <alignment horizontal="center"/>
    </xf>
    <xf numFmtId="43" fontId="26" fillId="4" borderId="9" xfId="1" applyFont="1" applyFill="1" applyBorder="1" applyAlignment="1">
      <alignment horizontal="center"/>
    </xf>
    <xf numFmtId="43" fontId="26" fillId="4" borderId="1" xfId="1" applyFont="1" applyFill="1" applyBorder="1" applyAlignment="1">
      <alignment horizontal="center"/>
    </xf>
    <xf numFmtId="43" fontId="16" fillId="0" borderId="22" xfId="1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left"/>
    </xf>
    <xf numFmtId="164" fontId="10" fillId="0" borderId="1" xfId="1" applyNumberFormat="1" applyFont="1" applyFill="1" applyBorder="1" applyAlignment="1">
      <alignment horizontal="left"/>
    </xf>
    <xf numFmtId="164" fontId="7" fillId="0" borderId="1" xfId="1" applyNumberFormat="1" applyFont="1" applyBorder="1" applyAlignment="1">
      <alignment horizontal="left"/>
    </xf>
    <xf numFmtId="164" fontId="18" fillId="0" borderId="29" xfId="1" applyNumberFormat="1" applyFont="1" applyBorder="1" applyAlignment="1">
      <alignment horizontal="center"/>
    </xf>
    <xf numFmtId="164" fontId="16" fillId="0" borderId="29" xfId="1" applyNumberFormat="1" applyFont="1" applyBorder="1" applyAlignment="1">
      <alignment horizontal="center"/>
    </xf>
    <xf numFmtId="164" fontId="18" fillId="0" borderId="10" xfId="1" applyNumberFormat="1" applyFont="1" applyBorder="1" applyAlignment="1">
      <alignment horizontal="center"/>
    </xf>
    <xf numFmtId="164" fontId="26" fillId="4" borderId="10" xfId="1" applyNumberFormat="1" applyFont="1" applyFill="1" applyBorder="1" applyAlignment="1">
      <alignment horizontal="center"/>
    </xf>
    <xf numFmtId="43" fontId="14" fillId="0" borderId="30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758aebf08b37535/Switch%20Final%20sheet%202025%20NEW/BILLINGS%20FOR%20CLIENTS%20Switch/GST%20Calcluation.xlsx" TargetMode="External"/><Relationship Id="rId1" Type="http://schemas.openxmlformats.org/officeDocument/2006/relationships/externalLinkPath" Target="https://d.docs.live.net/0758aebf08b37535/Switch%20Final%20sheet%202025%20NEW/BILLINGS%20FOR%20CLIENTS%20Switch/GST%20Calclu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drej 7th May "/>
      <sheetName val="Godrej 16th May"/>
      <sheetName val="Naksha 16th  May 2025"/>
      <sheetName val="Chef Nitin 5th May "/>
      <sheetName val="Taj Lands End Smples"/>
      <sheetName val="Verve Hospatility "/>
      <sheetName val="Foodies hospitality 27th May"/>
      <sheetName val="Sage &amp; Saffron 24 May "/>
      <sheetName val="Shaval Chandra 23rd May "/>
      <sheetName val="Americno 30th May "/>
      <sheetName val="Sage &amp; Olio 1st June 2025"/>
      <sheetName val="Zens Hosp 28 May 2025"/>
      <sheetName val="Pooja 30th May 25"/>
      <sheetName val="Nine Rental 30th May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B3">
            <v>25820</v>
          </cell>
        </row>
        <row r="4">
          <cell r="B4">
            <v>2582</v>
          </cell>
        </row>
      </sheetData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1790-8B3C-4E15-93B2-F52CA2849A62}">
  <dimension ref="A1:P28"/>
  <sheetViews>
    <sheetView topLeftCell="A11" zoomScale="110" zoomScaleNormal="110" workbookViewId="0">
      <selection activeCell="M26" sqref="M26"/>
    </sheetView>
  </sheetViews>
  <sheetFormatPr defaultRowHeight="14.4" x14ac:dyDescent="0.3"/>
  <cols>
    <col min="1" max="1" width="34.21875" bestFit="1" customWidth="1"/>
    <col min="2" max="2" width="11.21875" bestFit="1" customWidth="1"/>
    <col min="3" max="3" width="10.77734375" bestFit="1" customWidth="1"/>
    <col min="4" max="4" width="11.88671875" bestFit="1" customWidth="1"/>
    <col min="5" max="5" width="11" bestFit="1" customWidth="1"/>
    <col min="6" max="6" width="10.88671875" bestFit="1" customWidth="1"/>
    <col min="7" max="7" width="10.109375" bestFit="1" customWidth="1"/>
    <col min="8" max="8" width="5.6640625" bestFit="1" customWidth="1"/>
    <col min="9" max="10" width="5.77734375" bestFit="1" customWidth="1"/>
    <col min="11" max="11" width="5.5546875" bestFit="1" customWidth="1"/>
    <col min="12" max="12" width="5.77734375" bestFit="1" customWidth="1"/>
    <col min="13" max="13" width="6.21875" bestFit="1" customWidth="1"/>
    <col min="14" max="14" width="11" bestFit="1" customWidth="1"/>
    <col min="15" max="15" width="6" bestFit="1" customWidth="1"/>
    <col min="16" max="16" width="11.33203125" bestFit="1" customWidth="1"/>
  </cols>
  <sheetData>
    <row r="1" spans="1:16" x14ac:dyDescent="0.3">
      <c r="A1" s="93" t="s">
        <v>81</v>
      </c>
      <c r="B1" s="94" t="s">
        <v>58</v>
      </c>
      <c r="C1" s="94" t="s">
        <v>59</v>
      </c>
      <c r="D1" s="94" t="s">
        <v>60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6" t="s">
        <v>71</v>
      </c>
    </row>
    <row r="2" spans="1:16" ht="15" thickBot="1" x14ac:dyDescent="0.35">
      <c r="A2" s="164" t="s">
        <v>164</v>
      </c>
      <c r="B2" s="165">
        <f>'JAN 25'!H32</f>
        <v>56144</v>
      </c>
      <c r="C2" s="165">
        <f>'FEB 25'!I33</f>
        <v>37168</v>
      </c>
      <c r="D2" s="165">
        <f>'March 25'!G32</f>
        <v>131137</v>
      </c>
      <c r="E2" s="166">
        <f>'April 25 '!G33</f>
        <v>208715</v>
      </c>
      <c r="F2" s="166">
        <f>'May 25'!G24</f>
        <v>229200</v>
      </c>
      <c r="G2" s="166">
        <f>'June 25'!G26</f>
        <v>77420</v>
      </c>
      <c r="H2" s="166"/>
      <c r="I2" s="166"/>
      <c r="J2" s="166"/>
      <c r="K2" s="166"/>
      <c r="L2" s="166"/>
      <c r="M2" s="166"/>
      <c r="N2" s="174">
        <f t="shared" ref="N2:N8" si="0">SUM(B2:M2)</f>
        <v>739784</v>
      </c>
    </row>
    <row r="3" spans="1:16" ht="15" thickBot="1" x14ac:dyDescent="0.35">
      <c r="A3" s="161" t="s">
        <v>11</v>
      </c>
      <c r="B3" s="162">
        <f>'JAN 25'!I32</f>
        <v>5476.4</v>
      </c>
      <c r="C3" s="162">
        <f>'FEB 25'!J33</f>
        <v>5874</v>
      </c>
      <c r="D3" s="162">
        <f>'March 25'!I32</f>
        <v>11563.25</v>
      </c>
      <c r="E3" s="163">
        <f>'April 25 '!I33</f>
        <v>19575</v>
      </c>
      <c r="F3" s="163">
        <f>'May 25'!I24</f>
        <v>13810</v>
      </c>
      <c r="G3" s="163">
        <f>'June 25'!I26</f>
        <v>9522</v>
      </c>
      <c r="H3" s="163"/>
      <c r="I3" s="163"/>
      <c r="J3" s="163"/>
      <c r="K3" s="163"/>
      <c r="L3" s="163"/>
      <c r="M3" s="163"/>
      <c r="N3" s="175">
        <f t="shared" si="0"/>
        <v>65820.649999999994</v>
      </c>
      <c r="O3" s="169">
        <f>N3/N2</f>
        <v>8.8972794761714227E-2</v>
      </c>
    </row>
    <row r="4" spans="1:16" x14ac:dyDescent="0.3">
      <c r="A4" s="107" t="s">
        <v>80</v>
      </c>
      <c r="B4" s="105">
        <f t="shared" ref="B4:G4" si="1">B2-B3</f>
        <v>50667.6</v>
      </c>
      <c r="C4" s="105">
        <f t="shared" si="1"/>
        <v>31294</v>
      </c>
      <c r="D4" s="105">
        <f t="shared" si="1"/>
        <v>119573.75</v>
      </c>
      <c r="E4" s="106">
        <f t="shared" si="1"/>
        <v>189140</v>
      </c>
      <c r="F4" s="106">
        <f t="shared" si="1"/>
        <v>215390</v>
      </c>
      <c r="G4" s="106">
        <f t="shared" si="1"/>
        <v>67898</v>
      </c>
      <c r="H4" s="106"/>
      <c r="I4" s="106"/>
      <c r="J4" s="106"/>
      <c r="K4" s="106"/>
      <c r="L4" s="106"/>
      <c r="M4" s="106"/>
      <c r="N4" s="176">
        <f t="shared" si="0"/>
        <v>673963.35</v>
      </c>
      <c r="O4" s="45"/>
    </row>
    <row r="5" spans="1:16" x14ac:dyDescent="0.3">
      <c r="A5" s="107" t="s">
        <v>74</v>
      </c>
      <c r="B5" s="105">
        <f>'JAN 25'!G32</f>
        <v>16170</v>
      </c>
      <c r="C5" s="105">
        <f>'FEB 25'!H33</f>
        <v>1260</v>
      </c>
      <c r="D5" s="105">
        <f>'March 25'!H32</f>
        <v>10564</v>
      </c>
      <c r="E5" s="106">
        <f>'April 25 '!H33</f>
        <v>23445</v>
      </c>
      <c r="F5" s="106">
        <f>'May 25'!H24</f>
        <v>18470</v>
      </c>
      <c r="G5" s="106">
        <f>'June 25'!H26</f>
        <v>1</v>
      </c>
      <c r="H5" s="106"/>
      <c r="I5" s="106"/>
      <c r="J5" s="106"/>
      <c r="K5" s="106"/>
      <c r="L5" s="106"/>
      <c r="M5" s="106"/>
      <c r="N5" s="176">
        <f t="shared" si="0"/>
        <v>69910</v>
      </c>
    </row>
    <row r="6" spans="1:16" x14ac:dyDescent="0.3">
      <c r="A6" s="167" t="s">
        <v>76</v>
      </c>
      <c r="B6" s="168">
        <f t="shared" ref="B6:G6" si="2">B4+B5</f>
        <v>66837.600000000006</v>
      </c>
      <c r="C6" s="168">
        <f t="shared" si="2"/>
        <v>32554</v>
      </c>
      <c r="D6" s="168">
        <f t="shared" si="2"/>
        <v>130137.75</v>
      </c>
      <c r="E6" s="168">
        <f t="shared" si="2"/>
        <v>212585</v>
      </c>
      <c r="F6" s="168">
        <f t="shared" si="2"/>
        <v>233860</v>
      </c>
      <c r="G6" s="168">
        <f t="shared" si="2"/>
        <v>67899</v>
      </c>
      <c r="H6" s="168"/>
      <c r="I6" s="168"/>
      <c r="J6" s="168"/>
      <c r="K6" s="168"/>
      <c r="L6" s="168"/>
      <c r="M6" s="168"/>
      <c r="N6" s="177">
        <f t="shared" si="0"/>
        <v>743873.35</v>
      </c>
      <c r="P6" s="45"/>
    </row>
    <row r="7" spans="1:16" x14ac:dyDescent="0.3">
      <c r="A7" s="107" t="s">
        <v>73</v>
      </c>
      <c r="B7" s="105">
        <f>'JAN 25'!K32</f>
        <v>11024.567999999999</v>
      </c>
      <c r="C7" s="105">
        <f t="shared" ref="C7:D7" si="3">C6*18%</f>
        <v>5859.7199999999993</v>
      </c>
      <c r="D7" s="105">
        <f t="shared" si="3"/>
        <v>23424.794999999998</v>
      </c>
      <c r="E7" s="105">
        <f>'April 25 '!K33</f>
        <v>37905.299999999996</v>
      </c>
      <c r="F7" s="106">
        <f>'May 25'!K24</f>
        <v>42094.799999999996</v>
      </c>
      <c r="G7" s="106">
        <f>'June 25'!K26</f>
        <v>12977.64</v>
      </c>
      <c r="H7" s="106"/>
      <c r="I7" s="106"/>
      <c r="J7" s="106"/>
      <c r="K7" s="106"/>
      <c r="L7" s="106"/>
      <c r="M7" s="106"/>
      <c r="N7" s="176">
        <f t="shared" si="0"/>
        <v>133286.82299999997</v>
      </c>
    </row>
    <row r="8" spans="1:16" ht="15" thickBot="1" x14ac:dyDescent="0.35">
      <c r="A8" s="108" t="s">
        <v>79</v>
      </c>
      <c r="B8" s="158">
        <f>B6+B7</f>
        <v>77862.168000000005</v>
      </c>
      <c r="C8" s="158">
        <f t="shared" ref="C8:D8" si="4">C6+C7</f>
        <v>38413.72</v>
      </c>
      <c r="D8" s="158">
        <f t="shared" si="4"/>
        <v>153562.54499999998</v>
      </c>
      <c r="E8" s="159">
        <f>E6+E7</f>
        <v>250490.3</v>
      </c>
      <c r="F8" s="159">
        <f>SUM(F6:F7)</f>
        <v>275954.8</v>
      </c>
      <c r="G8" s="159">
        <f>G6+G7</f>
        <v>80876.639999999999</v>
      </c>
      <c r="H8" s="159"/>
      <c r="I8" s="159"/>
      <c r="J8" s="159"/>
      <c r="K8" s="159"/>
      <c r="L8" s="159"/>
      <c r="M8" s="159"/>
      <c r="N8" s="160">
        <f t="shared" si="0"/>
        <v>877160.17299999995</v>
      </c>
    </row>
    <row r="9" spans="1:16" ht="15" thickBot="1" x14ac:dyDescent="0.35">
      <c r="N9" s="45"/>
      <c r="P9" s="45"/>
    </row>
    <row r="10" spans="1:16" ht="15" thickBot="1" x14ac:dyDescent="0.35">
      <c r="A10" s="109" t="s">
        <v>82</v>
      </c>
    </row>
    <row r="11" spans="1:16" x14ac:dyDescent="0.3">
      <c r="A11" s="93" t="s">
        <v>57</v>
      </c>
      <c r="B11" s="94" t="s">
        <v>58</v>
      </c>
      <c r="C11" s="94" t="s">
        <v>59</v>
      </c>
      <c r="D11" s="94" t="s">
        <v>60</v>
      </c>
      <c r="E11" s="95" t="s">
        <v>62</v>
      </c>
      <c r="F11" s="95" t="s">
        <v>63</v>
      </c>
      <c r="G11" s="95" t="s">
        <v>64</v>
      </c>
      <c r="H11" s="95" t="s">
        <v>65</v>
      </c>
      <c r="I11" s="95" t="s">
        <v>66</v>
      </c>
      <c r="J11" s="95" t="s">
        <v>67</v>
      </c>
      <c r="K11" s="95" t="s">
        <v>68</v>
      </c>
      <c r="L11" s="95" t="s">
        <v>69</v>
      </c>
      <c r="M11" s="95" t="s">
        <v>70</v>
      </c>
      <c r="N11" s="96" t="s">
        <v>71</v>
      </c>
    </row>
    <row r="12" spans="1:16" x14ac:dyDescent="0.3">
      <c r="A12" s="97" t="s">
        <v>152</v>
      </c>
      <c r="B12" s="98">
        <v>0</v>
      </c>
      <c r="C12" s="98">
        <v>0</v>
      </c>
      <c r="D12" s="98">
        <v>0</v>
      </c>
      <c r="E12" s="99">
        <v>0</v>
      </c>
      <c r="F12" s="99">
        <f>'May 25'!N9</f>
        <v>28992.6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100">
        <f t="shared" ref="N12:N21" si="5">SUM(B12:M12)</f>
        <v>28992.6</v>
      </c>
    </row>
    <row r="13" spans="1:16" x14ac:dyDescent="0.3">
      <c r="A13" s="97" t="s">
        <v>138</v>
      </c>
      <c r="B13" s="98">
        <v>0</v>
      </c>
      <c r="C13" s="98">
        <v>0</v>
      </c>
      <c r="D13" s="98">
        <v>0</v>
      </c>
      <c r="E13" s="99">
        <v>0</v>
      </c>
      <c r="F13" s="99">
        <v>0</v>
      </c>
      <c r="G13" s="99">
        <v>0</v>
      </c>
      <c r="H13" s="99">
        <v>0</v>
      </c>
      <c r="I13" s="99">
        <v>0</v>
      </c>
      <c r="J13" s="99">
        <v>0</v>
      </c>
      <c r="K13" s="99">
        <v>0</v>
      </c>
      <c r="L13" s="99">
        <v>0</v>
      </c>
      <c r="M13" s="99">
        <v>0</v>
      </c>
      <c r="N13" s="100">
        <f t="shared" si="5"/>
        <v>0</v>
      </c>
    </row>
    <row r="14" spans="1:16" x14ac:dyDescent="0.3">
      <c r="A14" s="97" t="s">
        <v>100</v>
      </c>
      <c r="B14" s="98">
        <v>0</v>
      </c>
      <c r="C14" s="98">
        <v>0</v>
      </c>
      <c r="D14" s="98">
        <v>0</v>
      </c>
      <c r="E14" s="99">
        <v>0</v>
      </c>
      <c r="F14" s="99">
        <f>'May 25'!N4+'May 25'!N7</f>
        <v>91261.2</v>
      </c>
      <c r="G14" s="99">
        <v>0</v>
      </c>
      <c r="H14" s="99">
        <v>0</v>
      </c>
      <c r="I14" s="99">
        <v>0</v>
      </c>
      <c r="J14" s="99">
        <v>0</v>
      </c>
      <c r="K14" s="99">
        <v>0</v>
      </c>
      <c r="L14" s="99">
        <v>0</v>
      </c>
      <c r="M14" s="99">
        <v>0</v>
      </c>
      <c r="N14" s="100">
        <f t="shared" si="5"/>
        <v>91261.2</v>
      </c>
    </row>
    <row r="15" spans="1:16" x14ac:dyDescent="0.3">
      <c r="A15" s="97" t="s">
        <v>157</v>
      </c>
      <c r="B15" s="98">
        <v>0</v>
      </c>
      <c r="C15" s="98">
        <v>0</v>
      </c>
      <c r="D15" s="98">
        <v>0</v>
      </c>
      <c r="E15" s="99">
        <v>0</v>
      </c>
      <c r="F15" s="99">
        <f>'May 25'!L11</f>
        <v>35400</v>
      </c>
      <c r="G15" s="99">
        <v>0</v>
      </c>
      <c r="H15" s="99">
        <v>0</v>
      </c>
      <c r="I15" s="99">
        <v>0</v>
      </c>
      <c r="J15" s="99">
        <v>0</v>
      </c>
      <c r="K15" s="99">
        <v>0</v>
      </c>
      <c r="L15" s="99">
        <v>0</v>
      </c>
      <c r="M15" s="99">
        <v>0</v>
      </c>
      <c r="N15" s="100">
        <f t="shared" si="5"/>
        <v>35400</v>
      </c>
    </row>
    <row r="16" spans="1:16" x14ac:dyDescent="0.3">
      <c r="A16" s="97" t="s">
        <v>162</v>
      </c>
      <c r="B16" s="98">
        <v>0</v>
      </c>
      <c r="C16" s="98">
        <v>0</v>
      </c>
      <c r="D16" s="98">
        <v>0</v>
      </c>
      <c r="E16" s="99">
        <v>0</v>
      </c>
      <c r="F16" s="99">
        <v>0</v>
      </c>
      <c r="G16" s="99">
        <f>'June 25'!N3</f>
        <v>30208</v>
      </c>
      <c r="H16" s="99">
        <v>0</v>
      </c>
      <c r="I16" s="99">
        <v>0</v>
      </c>
      <c r="J16" s="99">
        <v>0</v>
      </c>
      <c r="K16" s="99">
        <v>0</v>
      </c>
      <c r="L16" s="99">
        <v>0</v>
      </c>
      <c r="M16" s="99">
        <v>0</v>
      </c>
      <c r="N16" s="100">
        <f t="shared" si="5"/>
        <v>30208</v>
      </c>
    </row>
    <row r="17" spans="1:15" x14ac:dyDescent="0.3">
      <c r="A17" s="97" t="s">
        <v>163</v>
      </c>
      <c r="B17" s="98">
        <v>0</v>
      </c>
      <c r="C17" s="98">
        <v>0</v>
      </c>
      <c r="D17" s="98">
        <v>0</v>
      </c>
      <c r="E17" s="99">
        <v>0</v>
      </c>
      <c r="F17" s="99">
        <v>0</v>
      </c>
      <c r="G17" s="99">
        <f>'June 25'!N2</f>
        <v>32140.84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100">
        <f t="shared" si="5"/>
        <v>32140.84</v>
      </c>
    </row>
    <row r="18" spans="1:15" x14ac:dyDescent="0.3">
      <c r="A18" s="178" t="s">
        <v>168</v>
      </c>
      <c r="B18" s="98"/>
      <c r="C18" s="98"/>
      <c r="D18" s="98"/>
      <c r="E18" s="99"/>
      <c r="F18" s="99"/>
      <c r="G18" s="99">
        <f>'June 25'!N6</f>
        <v>0</v>
      </c>
      <c r="H18" s="99"/>
      <c r="I18" s="99"/>
      <c r="J18" s="99"/>
      <c r="K18" s="99"/>
      <c r="L18" s="99"/>
      <c r="M18" s="99"/>
      <c r="N18" s="100"/>
    </row>
    <row r="19" spans="1:15" x14ac:dyDescent="0.3">
      <c r="A19" s="154" t="s">
        <v>165</v>
      </c>
      <c r="B19" s="98">
        <v>0</v>
      </c>
      <c r="C19" s="98">
        <v>0</v>
      </c>
      <c r="D19" s="98">
        <v>0</v>
      </c>
      <c r="E19" s="99">
        <v>0</v>
      </c>
      <c r="F19" s="99">
        <f>'June 25'!N4</f>
        <v>10620</v>
      </c>
      <c r="G19" s="99">
        <v>0</v>
      </c>
      <c r="H19" s="99">
        <v>0</v>
      </c>
      <c r="I19" s="99">
        <v>0</v>
      </c>
      <c r="J19" s="99">
        <v>0</v>
      </c>
      <c r="K19" s="99">
        <v>0</v>
      </c>
      <c r="L19" s="99">
        <v>0</v>
      </c>
      <c r="M19" s="99">
        <v>0</v>
      </c>
      <c r="N19" s="100">
        <f>SUM(B19:M19)</f>
        <v>10620</v>
      </c>
    </row>
    <row r="20" spans="1:15" ht="15" thickBot="1" x14ac:dyDescent="0.35">
      <c r="A20" s="97" t="s">
        <v>155</v>
      </c>
      <c r="B20" s="98">
        <v>0</v>
      </c>
      <c r="C20" s="98">
        <v>0</v>
      </c>
      <c r="D20" s="98">
        <v>0</v>
      </c>
      <c r="E20" s="99">
        <v>0</v>
      </c>
      <c r="F20" s="99">
        <f>'May 25'!N10</f>
        <v>26809.599999999999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100">
        <f t="shared" si="5"/>
        <v>26809.599999999999</v>
      </c>
    </row>
    <row r="21" spans="1:15" ht="15" thickBot="1" x14ac:dyDescent="0.35">
      <c r="A21" s="101" t="s">
        <v>71</v>
      </c>
      <c r="B21" s="102">
        <f t="shared" ref="B21:M21" si="6">SUM(B12:B20)</f>
        <v>0</v>
      </c>
      <c r="C21" s="102">
        <f t="shared" si="6"/>
        <v>0</v>
      </c>
      <c r="D21" s="102">
        <f t="shared" si="6"/>
        <v>0</v>
      </c>
      <c r="E21" s="103">
        <f t="shared" si="6"/>
        <v>0</v>
      </c>
      <c r="F21" s="103">
        <f t="shared" si="6"/>
        <v>193083.4</v>
      </c>
      <c r="G21" s="103">
        <f t="shared" si="6"/>
        <v>62348.84</v>
      </c>
      <c r="H21" s="103">
        <f t="shared" si="6"/>
        <v>0</v>
      </c>
      <c r="I21" s="103">
        <f t="shared" si="6"/>
        <v>0</v>
      </c>
      <c r="J21" s="103">
        <f t="shared" si="6"/>
        <v>0</v>
      </c>
      <c r="K21" s="103">
        <f t="shared" si="6"/>
        <v>0</v>
      </c>
      <c r="L21" s="103">
        <f t="shared" si="6"/>
        <v>0</v>
      </c>
      <c r="M21" s="103">
        <f t="shared" si="6"/>
        <v>0</v>
      </c>
      <c r="N21" s="104">
        <f t="shared" si="5"/>
        <v>255432.24</v>
      </c>
      <c r="O21" s="169">
        <f>N21/N6</f>
        <v>0.34338135651720819</v>
      </c>
    </row>
    <row r="23" spans="1:15" x14ac:dyDescent="0.3">
      <c r="N23" s="86"/>
    </row>
    <row r="24" spans="1:15" x14ac:dyDescent="0.3">
      <c r="F24" s="45"/>
    </row>
    <row r="25" spans="1:15" x14ac:dyDescent="0.3">
      <c r="J25" s="142"/>
    </row>
    <row r="26" spans="1:15" x14ac:dyDescent="0.3">
      <c r="J26" s="142"/>
    </row>
    <row r="28" spans="1:15" x14ac:dyDescent="0.3">
      <c r="F28" s="4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B1B2-0EDA-42C1-89CC-4E9BB6B0A4AE}">
  <dimension ref="A1:T38"/>
  <sheetViews>
    <sheetView topLeftCell="A15" zoomScaleNormal="100" workbookViewId="0">
      <selection activeCell="C9" sqref="C9"/>
    </sheetView>
  </sheetViews>
  <sheetFormatPr defaultColWidth="9.109375" defaultRowHeight="13.8" x14ac:dyDescent="0.3"/>
  <cols>
    <col min="1" max="1" width="5.5546875" style="5" bestFit="1" customWidth="1"/>
    <col min="2" max="2" width="20.77734375" style="15" bestFit="1" customWidth="1"/>
    <col min="3" max="3" width="20.77734375" style="15" customWidth="1"/>
    <col min="4" max="4" width="13.44140625" style="15" bestFit="1" customWidth="1"/>
    <col min="5" max="5" width="9.77734375" style="15" bestFit="1" customWidth="1"/>
    <col min="6" max="6" width="8.44140625" style="15" bestFit="1" customWidth="1"/>
    <col min="7" max="7" width="12.6640625" style="15" bestFit="1" customWidth="1"/>
    <col min="8" max="8" width="11.77734375" style="15" bestFit="1" customWidth="1"/>
    <col min="9" max="9" width="16.5546875" style="15" bestFit="1" customWidth="1"/>
    <col min="10" max="10" width="8.6640625" style="15" bestFit="1" customWidth="1"/>
    <col min="11" max="11" width="8.33203125" style="15" bestFit="1" customWidth="1"/>
    <col min="12" max="12" width="14.21875" style="15" bestFit="1" customWidth="1"/>
    <col min="13" max="13" width="16.5546875" style="15" bestFit="1" customWidth="1"/>
    <col min="14" max="14" width="12.77734375" style="15" bestFit="1" customWidth="1"/>
    <col min="15" max="15" width="18.21875" style="5" bestFit="1" customWidth="1"/>
    <col min="16" max="16" width="11.6640625" style="5" customWidth="1"/>
    <col min="17" max="16384" width="9.109375" style="5"/>
  </cols>
  <sheetData>
    <row r="1" spans="1:20" ht="15" customHeight="1" thickBot="1" x14ac:dyDescent="0.35"/>
    <row r="2" spans="1:20" x14ac:dyDescent="0.3">
      <c r="A2" s="1" t="s">
        <v>21</v>
      </c>
      <c r="B2" s="2" t="s">
        <v>0</v>
      </c>
      <c r="C2" s="2" t="s">
        <v>119</v>
      </c>
      <c r="D2" s="2" t="s">
        <v>1</v>
      </c>
      <c r="E2" s="2" t="s">
        <v>19</v>
      </c>
      <c r="F2" s="2" t="s">
        <v>2</v>
      </c>
      <c r="G2" s="2" t="s">
        <v>74</v>
      </c>
      <c r="H2" s="2" t="s">
        <v>17</v>
      </c>
      <c r="I2" s="2" t="s">
        <v>54</v>
      </c>
      <c r="J2" s="2" t="s">
        <v>77</v>
      </c>
      <c r="K2" s="2" t="s">
        <v>3</v>
      </c>
      <c r="L2" s="2" t="s">
        <v>16</v>
      </c>
      <c r="M2" s="3" t="s">
        <v>20</v>
      </c>
      <c r="N2" s="4" t="s">
        <v>4</v>
      </c>
      <c r="O2" s="28" t="s">
        <v>28</v>
      </c>
      <c r="P2" s="4" t="s">
        <v>29</v>
      </c>
    </row>
    <row r="3" spans="1:20" x14ac:dyDescent="0.3">
      <c r="A3" s="38">
        <v>1</v>
      </c>
      <c r="B3" s="39" t="s">
        <v>13</v>
      </c>
      <c r="C3" s="39"/>
      <c r="D3" s="39">
        <v>9820628870</v>
      </c>
      <c r="E3" s="39">
        <v>1</v>
      </c>
      <c r="F3" s="39" t="s">
        <v>14</v>
      </c>
      <c r="G3" s="39">
        <v>0</v>
      </c>
      <c r="H3" s="110">
        <v>2125</v>
      </c>
      <c r="I3" s="110">
        <v>0</v>
      </c>
      <c r="J3" s="110">
        <f>G3+H3-I3</f>
        <v>2125</v>
      </c>
      <c r="K3" s="110">
        <f>J3*18%</f>
        <v>382.5</v>
      </c>
      <c r="L3" s="110">
        <f>J3+K3</f>
        <v>2507.5</v>
      </c>
      <c r="M3" s="111">
        <v>0</v>
      </c>
      <c r="N3" s="42" t="s">
        <v>26</v>
      </c>
      <c r="O3" s="112">
        <v>21040</v>
      </c>
      <c r="P3" s="113">
        <f>J3/O3</f>
        <v>0.10099809885931559</v>
      </c>
    </row>
    <row r="4" spans="1:20" x14ac:dyDescent="0.3">
      <c r="A4" s="38">
        <v>2</v>
      </c>
      <c r="B4" s="39" t="s">
        <v>5</v>
      </c>
      <c r="C4" s="39"/>
      <c r="D4" s="39">
        <v>9820151040</v>
      </c>
      <c r="E4" s="39">
        <v>2</v>
      </c>
      <c r="F4" s="39" t="s">
        <v>6</v>
      </c>
      <c r="G4" s="39">
        <v>0</v>
      </c>
      <c r="H4" s="110">
        <v>2040</v>
      </c>
      <c r="I4" s="110">
        <v>0</v>
      </c>
      <c r="J4" s="110">
        <f t="shared" ref="J4:J31" si="0">G4+H4-I4</f>
        <v>2040</v>
      </c>
      <c r="K4" s="110">
        <f t="shared" ref="K4:K31" si="1">J4*18%</f>
        <v>367.2</v>
      </c>
      <c r="L4" s="110">
        <f t="shared" ref="L4:L31" si="2">J4+K4</f>
        <v>2407.1999999999998</v>
      </c>
      <c r="M4" s="111">
        <v>0</v>
      </c>
      <c r="N4" s="42" t="s">
        <v>27</v>
      </c>
      <c r="O4" s="112">
        <v>12600</v>
      </c>
      <c r="P4" s="113">
        <f>J4/O4</f>
        <v>0.16190476190476191</v>
      </c>
    </row>
    <row r="5" spans="1:20" x14ac:dyDescent="0.3">
      <c r="A5" s="38">
        <v>3</v>
      </c>
      <c r="B5" s="39" t="s">
        <v>7</v>
      </c>
      <c r="C5" s="39"/>
      <c r="D5" s="114">
        <v>8928890965</v>
      </c>
      <c r="E5" s="39">
        <v>3</v>
      </c>
      <c r="F5" s="39" t="s">
        <v>8</v>
      </c>
      <c r="G5" s="39">
        <v>0</v>
      </c>
      <c r="H5" s="110">
        <v>3840</v>
      </c>
      <c r="I5" s="110">
        <v>0</v>
      </c>
      <c r="J5" s="110">
        <f t="shared" si="0"/>
        <v>3840</v>
      </c>
      <c r="K5" s="110">
        <f t="shared" si="1"/>
        <v>691.19999999999993</v>
      </c>
      <c r="L5" s="110">
        <f t="shared" si="2"/>
        <v>4531.2</v>
      </c>
      <c r="M5" s="111">
        <v>0</v>
      </c>
      <c r="N5" s="42" t="s">
        <v>27</v>
      </c>
      <c r="O5" s="112">
        <v>25800</v>
      </c>
      <c r="P5" s="113">
        <f>J5/O5</f>
        <v>0.14883720930232558</v>
      </c>
    </row>
    <row r="6" spans="1:20" x14ac:dyDescent="0.3">
      <c r="A6" s="38">
        <v>4</v>
      </c>
      <c r="B6" s="39" t="s">
        <v>9</v>
      </c>
      <c r="C6" s="7" t="s">
        <v>135</v>
      </c>
      <c r="D6" s="39">
        <v>9004696778</v>
      </c>
      <c r="E6" s="39">
        <v>4</v>
      </c>
      <c r="F6" s="39" t="s">
        <v>10</v>
      </c>
      <c r="G6" s="39">
        <v>0</v>
      </c>
      <c r="H6" s="40">
        <v>4500</v>
      </c>
      <c r="I6" s="40">
        <v>0</v>
      </c>
      <c r="J6" s="110">
        <f t="shared" si="0"/>
        <v>4500</v>
      </c>
      <c r="K6" s="40">
        <v>0</v>
      </c>
      <c r="L6" s="40">
        <f t="shared" si="2"/>
        <v>4500</v>
      </c>
      <c r="M6" s="41">
        <v>0</v>
      </c>
      <c r="N6" s="42" t="s">
        <v>26</v>
      </c>
      <c r="O6" s="43">
        <v>36000</v>
      </c>
      <c r="P6" s="44">
        <f>J6/O6</f>
        <v>0.125</v>
      </c>
    </row>
    <row r="7" spans="1:20" x14ac:dyDescent="0.3">
      <c r="A7" s="38"/>
      <c r="B7" s="39" t="s">
        <v>9</v>
      </c>
      <c r="C7" s="7" t="s">
        <v>135</v>
      </c>
      <c r="D7" s="39">
        <v>9004696778</v>
      </c>
      <c r="E7" s="39"/>
      <c r="F7" s="39"/>
      <c r="G7" s="39">
        <v>1090</v>
      </c>
      <c r="H7" s="40">
        <v>0</v>
      </c>
      <c r="I7" s="40">
        <v>0</v>
      </c>
      <c r="J7" s="110">
        <f t="shared" si="0"/>
        <v>1090</v>
      </c>
      <c r="K7" s="40">
        <v>0</v>
      </c>
      <c r="L7" s="40">
        <f t="shared" si="2"/>
        <v>1090</v>
      </c>
      <c r="M7" s="41">
        <v>0</v>
      </c>
      <c r="N7" s="42" t="s">
        <v>26</v>
      </c>
      <c r="O7" s="43"/>
      <c r="P7" s="44"/>
    </row>
    <row r="8" spans="1:20" x14ac:dyDescent="0.3">
      <c r="A8" s="38">
        <v>5</v>
      </c>
      <c r="B8" s="39" t="s">
        <v>12</v>
      </c>
      <c r="C8" s="39"/>
      <c r="D8" s="39">
        <v>9820882211</v>
      </c>
      <c r="E8" s="39">
        <v>5</v>
      </c>
      <c r="F8" s="39" t="s">
        <v>15</v>
      </c>
      <c r="G8" s="39">
        <v>0</v>
      </c>
      <c r="H8" s="40">
        <v>1824</v>
      </c>
      <c r="I8" s="40">
        <f>H8*10%</f>
        <v>182.4</v>
      </c>
      <c r="J8" s="110">
        <f t="shared" si="0"/>
        <v>1641.6</v>
      </c>
      <c r="K8" s="40">
        <f t="shared" si="1"/>
        <v>295.488</v>
      </c>
      <c r="L8" s="40">
        <f t="shared" si="2"/>
        <v>1937.088</v>
      </c>
      <c r="M8" s="41">
        <v>0</v>
      </c>
      <c r="N8" s="42" t="s">
        <v>27</v>
      </c>
      <c r="O8" s="43">
        <v>14160</v>
      </c>
      <c r="P8" s="44">
        <f>J8/O8</f>
        <v>0.1159322033898305</v>
      </c>
      <c r="R8" s="26"/>
    </row>
    <row r="9" spans="1:20" x14ac:dyDescent="0.3">
      <c r="A9" s="38">
        <v>6</v>
      </c>
      <c r="B9" s="39" t="s">
        <v>23</v>
      </c>
      <c r="C9" s="7" t="s">
        <v>123</v>
      </c>
      <c r="D9" s="39">
        <v>9867384572</v>
      </c>
      <c r="E9" s="39">
        <v>6</v>
      </c>
      <c r="F9" s="39" t="s">
        <v>18</v>
      </c>
      <c r="G9" s="39">
        <v>0</v>
      </c>
      <c r="H9" s="40">
        <f>(19500)+(48*45)</f>
        <v>21660</v>
      </c>
      <c r="I9" s="40">
        <v>1000</v>
      </c>
      <c r="J9" s="110">
        <f t="shared" si="0"/>
        <v>20660</v>
      </c>
      <c r="K9" s="40">
        <f t="shared" si="1"/>
        <v>3718.7999999999997</v>
      </c>
      <c r="L9" s="40">
        <f t="shared" si="2"/>
        <v>24378.799999999999</v>
      </c>
      <c r="M9" s="41">
        <v>0</v>
      </c>
      <c r="N9" s="42" t="s">
        <v>27</v>
      </c>
      <c r="O9" s="43">
        <v>137280</v>
      </c>
      <c r="P9" s="44">
        <f>J9/O9</f>
        <v>0.15049533799533799</v>
      </c>
      <c r="T9" s="26"/>
    </row>
    <row r="10" spans="1:20" x14ac:dyDescent="0.3">
      <c r="A10" s="38">
        <v>8</v>
      </c>
      <c r="B10" s="39" t="s">
        <v>23</v>
      </c>
      <c r="C10" s="7" t="s">
        <v>123</v>
      </c>
      <c r="D10" s="39">
        <v>9867384572</v>
      </c>
      <c r="E10" s="39">
        <v>8</v>
      </c>
      <c r="F10" s="39" t="s">
        <v>22</v>
      </c>
      <c r="G10" s="39">
        <v>14130</v>
      </c>
      <c r="H10" s="40">
        <v>0</v>
      </c>
      <c r="I10" s="40">
        <v>1413</v>
      </c>
      <c r="J10" s="110">
        <f t="shared" si="0"/>
        <v>12717</v>
      </c>
      <c r="K10" s="40">
        <f t="shared" si="1"/>
        <v>2289.06</v>
      </c>
      <c r="L10" s="40">
        <f t="shared" si="2"/>
        <v>15006.06</v>
      </c>
      <c r="M10" s="41">
        <v>0</v>
      </c>
      <c r="N10" s="42" t="s">
        <v>27</v>
      </c>
      <c r="O10" s="43"/>
      <c r="P10" s="44"/>
      <c r="R10" s="26"/>
      <c r="T10" s="27"/>
    </row>
    <row r="11" spans="1:20" x14ac:dyDescent="0.3">
      <c r="A11" s="38">
        <v>7</v>
      </c>
      <c r="B11" s="39" t="s">
        <v>12</v>
      </c>
      <c r="C11" s="39"/>
      <c r="D11" s="39"/>
      <c r="E11" s="39">
        <v>7</v>
      </c>
      <c r="F11" s="39" t="s">
        <v>22</v>
      </c>
      <c r="G11" s="39">
        <v>0</v>
      </c>
      <c r="H11" s="40">
        <v>19205</v>
      </c>
      <c r="I11" s="40">
        <v>2881</v>
      </c>
      <c r="J11" s="110">
        <f t="shared" si="0"/>
        <v>16324</v>
      </c>
      <c r="K11" s="40">
        <f t="shared" si="1"/>
        <v>2938.3199999999997</v>
      </c>
      <c r="L11" s="40">
        <f t="shared" si="2"/>
        <v>19262.32</v>
      </c>
      <c r="M11" s="41">
        <v>0</v>
      </c>
      <c r="N11" s="42" t="s">
        <v>27</v>
      </c>
      <c r="O11" s="43">
        <v>125754</v>
      </c>
      <c r="P11" s="44">
        <f>J11/O11</f>
        <v>0.12980899215929514</v>
      </c>
    </row>
    <row r="12" spans="1:20" x14ac:dyDescent="0.3">
      <c r="A12" s="38">
        <v>9</v>
      </c>
      <c r="B12" s="39" t="s">
        <v>12</v>
      </c>
      <c r="C12" s="39"/>
      <c r="D12" s="39">
        <v>9820882211</v>
      </c>
      <c r="E12" s="39">
        <v>7</v>
      </c>
      <c r="F12" s="39" t="s">
        <v>22</v>
      </c>
      <c r="G12" s="39">
        <v>950</v>
      </c>
      <c r="H12" s="40">
        <v>950</v>
      </c>
      <c r="I12" s="40">
        <v>0</v>
      </c>
      <c r="J12" s="110">
        <f t="shared" si="0"/>
        <v>1900</v>
      </c>
      <c r="K12" s="40">
        <f t="shared" si="1"/>
        <v>342</v>
      </c>
      <c r="L12" s="40">
        <f t="shared" si="2"/>
        <v>2242</v>
      </c>
      <c r="M12" s="41">
        <v>0</v>
      </c>
      <c r="N12" s="42" t="s">
        <v>27</v>
      </c>
      <c r="O12" s="43"/>
      <c r="P12" s="44"/>
    </row>
    <row r="13" spans="1:20" x14ac:dyDescent="0.3">
      <c r="A13" s="6">
        <v>10</v>
      </c>
      <c r="B13" s="7"/>
      <c r="C13" s="7"/>
      <c r="D13" s="7"/>
      <c r="E13" s="7"/>
      <c r="F13" s="7"/>
      <c r="G13" s="7"/>
      <c r="H13" s="21"/>
      <c r="I13" s="21"/>
      <c r="J13" s="18">
        <f t="shared" si="0"/>
        <v>0</v>
      </c>
      <c r="K13" s="21">
        <f t="shared" si="1"/>
        <v>0</v>
      </c>
      <c r="L13" s="21">
        <f t="shared" si="2"/>
        <v>0</v>
      </c>
      <c r="M13" s="22"/>
      <c r="N13" s="8"/>
      <c r="O13" s="30"/>
      <c r="P13" s="34"/>
    </row>
    <row r="14" spans="1:20" x14ac:dyDescent="0.3">
      <c r="A14" s="6">
        <v>11</v>
      </c>
      <c r="B14" s="7"/>
      <c r="C14" s="7"/>
      <c r="D14" s="7"/>
      <c r="E14" s="7"/>
      <c r="F14" s="7"/>
      <c r="G14" s="7"/>
      <c r="H14" s="21"/>
      <c r="I14" s="21"/>
      <c r="J14" s="18">
        <f t="shared" si="0"/>
        <v>0</v>
      </c>
      <c r="K14" s="21">
        <f t="shared" si="1"/>
        <v>0</v>
      </c>
      <c r="L14" s="21">
        <f t="shared" si="2"/>
        <v>0</v>
      </c>
      <c r="M14" s="22"/>
      <c r="N14" s="8"/>
      <c r="O14" s="30"/>
      <c r="P14" s="34"/>
      <c r="R14" s="26"/>
    </row>
    <row r="15" spans="1:20" x14ac:dyDescent="0.3">
      <c r="A15" s="6">
        <v>12</v>
      </c>
      <c r="B15" s="7"/>
      <c r="C15" s="7"/>
      <c r="D15" s="7"/>
      <c r="E15" s="7"/>
      <c r="F15" s="7"/>
      <c r="G15" s="7"/>
      <c r="H15" s="18"/>
      <c r="I15" s="18"/>
      <c r="J15" s="18">
        <f t="shared" si="0"/>
        <v>0</v>
      </c>
      <c r="K15" s="18">
        <f t="shared" si="1"/>
        <v>0</v>
      </c>
      <c r="L15" s="18">
        <f t="shared" si="2"/>
        <v>0</v>
      </c>
      <c r="M15" s="20"/>
      <c r="N15" s="8"/>
      <c r="O15" s="29"/>
      <c r="P15" s="33"/>
    </row>
    <row r="16" spans="1:20" x14ac:dyDescent="0.3">
      <c r="A16" s="6">
        <v>13</v>
      </c>
      <c r="B16" s="7"/>
      <c r="C16" s="7"/>
      <c r="D16" s="7"/>
      <c r="E16" s="7"/>
      <c r="F16" s="7"/>
      <c r="G16" s="7"/>
      <c r="H16" s="18"/>
      <c r="I16" s="18"/>
      <c r="J16" s="18">
        <f t="shared" si="0"/>
        <v>0</v>
      </c>
      <c r="K16" s="18">
        <f t="shared" si="1"/>
        <v>0</v>
      </c>
      <c r="L16" s="18">
        <f t="shared" si="2"/>
        <v>0</v>
      </c>
      <c r="M16" s="20"/>
      <c r="N16" s="8"/>
      <c r="O16" s="29"/>
      <c r="P16" s="33"/>
    </row>
    <row r="17" spans="1:16" x14ac:dyDescent="0.3">
      <c r="A17" s="6">
        <v>14</v>
      </c>
      <c r="B17" s="7"/>
      <c r="C17" s="7"/>
      <c r="D17" s="7"/>
      <c r="E17" s="7"/>
      <c r="F17" s="7"/>
      <c r="G17" s="7"/>
      <c r="H17" s="18"/>
      <c r="I17" s="18"/>
      <c r="J17" s="18">
        <f t="shared" si="0"/>
        <v>0</v>
      </c>
      <c r="K17" s="18">
        <f t="shared" si="1"/>
        <v>0</v>
      </c>
      <c r="L17" s="18">
        <f t="shared" si="2"/>
        <v>0</v>
      </c>
      <c r="M17" s="20"/>
      <c r="N17" s="8"/>
      <c r="O17" s="29"/>
      <c r="P17" s="33"/>
    </row>
    <row r="18" spans="1:16" x14ac:dyDescent="0.3">
      <c r="A18" s="6">
        <v>15</v>
      </c>
      <c r="B18" s="7"/>
      <c r="C18" s="7"/>
      <c r="D18" s="7"/>
      <c r="E18" s="7"/>
      <c r="F18" s="7"/>
      <c r="G18" s="7"/>
      <c r="H18" s="18"/>
      <c r="I18" s="18"/>
      <c r="J18" s="18">
        <f t="shared" si="0"/>
        <v>0</v>
      </c>
      <c r="K18" s="18">
        <f t="shared" si="1"/>
        <v>0</v>
      </c>
      <c r="L18" s="18">
        <f t="shared" si="2"/>
        <v>0</v>
      </c>
      <c r="M18" s="20"/>
      <c r="N18" s="8"/>
      <c r="O18" s="29"/>
      <c r="P18" s="33"/>
    </row>
    <row r="19" spans="1:16" x14ac:dyDescent="0.3">
      <c r="A19" s="6">
        <v>16</v>
      </c>
      <c r="B19" s="7"/>
      <c r="C19" s="7"/>
      <c r="D19" s="7"/>
      <c r="E19" s="7"/>
      <c r="F19" s="7"/>
      <c r="G19" s="7"/>
      <c r="H19" s="18"/>
      <c r="I19" s="18"/>
      <c r="J19" s="18">
        <f t="shared" si="0"/>
        <v>0</v>
      </c>
      <c r="K19" s="18">
        <f t="shared" si="1"/>
        <v>0</v>
      </c>
      <c r="L19" s="18">
        <f t="shared" si="2"/>
        <v>0</v>
      </c>
      <c r="M19" s="20"/>
      <c r="N19" s="8"/>
      <c r="O19" s="29"/>
      <c r="P19" s="33"/>
    </row>
    <row r="20" spans="1:16" x14ac:dyDescent="0.3">
      <c r="A20" s="6">
        <v>17</v>
      </c>
      <c r="B20" s="7"/>
      <c r="C20" s="7"/>
      <c r="D20" s="7"/>
      <c r="E20" s="7"/>
      <c r="F20" s="7"/>
      <c r="G20" s="7"/>
      <c r="H20" s="18"/>
      <c r="I20" s="18"/>
      <c r="J20" s="18">
        <f t="shared" si="0"/>
        <v>0</v>
      </c>
      <c r="K20" s="18">
        <f t="shared" si="1"/>
        <v>0</v>
      </c>
      <c r="L20" s="18">
        <f t="shared" si="2"/>
        <v>0</v>
      </c>
      <c r="M20" s="20"/>
      <c r="N20" s="8"/>
      <c r="O20" s="29"/>
      <c r="P20" s="33"/>
    </row>
    <row r="21" spans="1:16" x14ac:dyDescent="0.3">
      <c r="A21" s="6">
        <v>18</v>
      </c>
      <c r="B21" s="7"/>
      <c r="C21" s="7"/>
      <c r="D21" s="7"/>
      <c r="E21" s="7"/>
      <c r="F21" s="7"/>
      <c r="G21" s="7"/>
      <c r="H21" s="18"/>
      <c r="I21" s="18"/>
      <c r="J21" s="18">
        <f t="shared" si="0"/>
        <v>0</v>
      </c>
      <c r="K21" s="18">
        <f t="shared" si="1"/>
        <v>0</v>
      </c>
      <c r="L21" s="18">
        <f t="shared" si="2"/>
        <v>0</v>
      </c>
      <c r="M21" s="20"/>
      <c r="N21" s="8"/>
      <c r="O21" s="29"/>
      <c r="P21" s="33"/>
    </row>
    <row r="22" spans="1:16" x14ac:dyDescent="0.3">
      <c r="A22" s="6">
        <v>19</v>
      </c>
      <c r="B22" s="7"/>
      <c r="C22" s="7"/>
      <c r="D22" s="7"/>
      <c r="E22" s="7"/>
      <c r="F22" s="7"/>
      <c r="G22" s="7"/>
      <c r="H22" s="18"/>
      <c r="I22" s="18"/>
      <c r="J22" s="18">
        <f t="shared" si="0"/>
        <v>0</v>
      </c>
      <c r="K22" s="18">
        <f t="shared" si="1"/>
        <v>0</v>
      </c>
      <c r="L22" s="18">
        <f t="shared" si="2"/>
        <v>0</v>
      </c>
      <c r="M22" s="20"/>
      <c r="N22" s="8"/>
      <c r="O22" s="29"/>
      <c r="P22" s="33"/>
    </row>
    <row r="23" spans="1:16" x14ac:dyDescent="0.3">
      <c r="A23" s="6">
        <v>20</v>
      </c>
      <c r="B23" s="7"/>
      <c r="C23" s="7"/>
      <c r="D23" s="7"/>
      <c r="E23" s="7"/>
      <c r="F23" s="7"/>
      <c r="G23" s="7"/>
      <c r="H23" s="18"/>
      <c r="I23" s="18"/>
      <c r="J23" s="18">
        <f t="shared" si="0"/>
        <v>0</v>
      </c>
      <c r="K23" s="18">
        <f t="shared" si="1"/>
        <v>0</v>
      </c>
      <c r="L23" s="18">
        <f t="shared" si="2"/>
        <v>0</v>
      </c>
      <c r="M23" s="20"/>
      <c r="N23" s="8"/>
      <c r="O23" s="29"/>
      <c r="P23" s="33"/>
    </row>
    <row r="24" spans="1:16" x14ac:dyDescent="0.3">
      <c r="A24" s="6">
        <v>21</v>
      </c>
      <c r="B24" s="7"/>
      <c r="C24" s="7"/>
      <c r="D24" s="7"/>
      <c r="E24" s="7"/>
      <c r="F24" s="7"/>
      <c r="G24" s="7"/>
      <c r="H24" s="18"/>
      <c r="I24" s="18"/>
      <c r="J24" s="18">
        <f t="shared" si="0"/>
        <v>0</v>
      </c>
      <c r="K24" s="18">
        <f t="shared" si="1"/>
        <v>0</v>
      </c>
      <c r="L24" s="18">
        <f t="shared" si="2"/>
        <v>0</v>
      </c>
      <c r="M24" s="20"/>
      <c r="N24" s="8"/>
      <c r="O24" s="29"/>
      <c r="P24" s="33"/>
    </row>
    <row r="25" spans="1:16" x14ac:dyDescent="0.3">
      <c r="A25" s="6">
        <v>22</v>
      </c>
      <c r="B25" s="7"/>
      <c r="C25" s="7"/>
      <c r="D25" s="7"/>
      <c r="E25" s="7"/>
      <c r="F25" s="7"/>
      <c r="G25" s="7"/>
      <c r="H25" s="18"/>
      <c r="I25" s="18"/>
      <c r="J25" s="18">
        <f t="shared" si="0"/>
        <v>0</v>
      </c>
      <c r="K25" s="18">
        <f t="shared" si="1"/>
        <v>0</v>
      </c>
      <c r="L25" s="18">
        <f t="shared" si="2"/>
        <v>0</v>
      </c>
      <c r="M25" s="20"/>
      <c r="N25" s="8"/>
      <c r="O25" s="29"/>
      <c r="P25" s="33"/>
    </row>
    <row r="26" spans="1:16" x14ac:dyDescent="0.3">
      <c r="A26" s="6">
        <v>23</v>
      </c>
      <c r="B26" s="7"/>
      <c r="C26" s="7"/>
      <c r="D26" s="7"/>
      <c r="E26" s="7"/>
      <c r="F26" s="7"/>
      <c r="G26" s="7"/>
      <c r="H26" s="18"/>
      <c r="I26" s="18"/>
      <c r="J26" s="18">
        <f t="shared" si="0"/>
        <v>0</v>
      </c>
      <c r="K26" s="18">
        <f t="shared" si="1"/>
        <v>0</v>
      </c>
      <c r="L26" s="18">
        <f t="shared" si="2"/>
        <v>0</v>
      </c>
      <c r="M26" s="20"/>
      <c r="N26" s="8"/>
      <c r="O26" s="29"/>
      <c r="P26" s="33"/>
    </row>
    <row r="27" spans="1:16" x14ac:dyDescent="0.3">
      <c r="A27" s="6">
        <v>24</v>
      </c>
      <c r="B27" s="7"/>
      <c r="C27" s="7"/>
      <c r="D27" s="7"/>
      <c r="E27" s="7"/>
      <c r="F27" s="7"/>
      <c r="G27" s="7"/>
      <c r="H27" s="18"/>
      <c r="I27" s="18"/>
      <c r="J27" s="18">
        <f t="shared" si="0"/>
        <v>0</v>
      </c>
      <c r="K27" s="18">
        <f t="shared" si="1"/>
        <v>0</v>
      </c>
      <c r="L27" s="18">
        <f t="shared" si="2"/>
        <v>0</v>
      </c>
      <c r="M27" s="20"/>
      <c r="N27" s="8"/>
      <c r="O27" s="29"/>
      <c r="P27" s="33"/>
    </row>
    <row r="28" spans="1:16" x14ac:dyDescent="0.3">
      <c r="A28" s="6">
        <v>25</v>
      </c>
      <c r="B28" s="7"/>
      <c r="C28" s="7"/>
      <c r="D28" s="7"/>
      <c r="E28" s="7"/>
      <c r="F28" s="7"/>
      <c r="G28" s="7"/>
      <c r="H28" s="18"/>
      <c r="I28" s="18"/>
      <c r="J28" s="18">
        <f t="shared" si="0"/>
        <v>0</v>
      </c>
      <c r="K28" s="18">
        <f t="shared" si="1"/>
        <v>0</v>
      </c>
      <c r="L28" s="18">
        <f t="shared" si="2"/>
        <v>0</v>
      </c>
      <c r="M28" s="20"/>
      <c r="N28" s="8"/>
      <c r="O28" s="29"/>
      <c r="P28" s="33"/>
    </row>
    <row r="29" spans="1:16" x14ac:dyDescent="0.3">
      <c r="A29" s="6">
        <v>26</v>
      </c>
      <c r="B29" s="7"/>
      <c r="C29" s="7"/>
      <c r="D29" s="7"/>
      <c r="E29" s="7"/>
      <c r="F29" s="7"/>
      <c r="G29" s="7"/>
      <c r="H29" s="18"/>
      <c r="I29" s="18"/>
      <c r="J29" s="18">
        <f t="shared" si="0"/>
        <v>0</v>
      </c>
      <c r="K29" s="18">
        <f t="shared" si="1"/>
        <v>0</v>
      </c>
      <c r="L29" s="18">
        <f t="shared" si="2"/>
        <v>0</v>
      </c>
      <c r="M29" s="20"/>
      <c r="N29" s="8"/>
      <c r="O29" s="29"/>
      <c r="P29" s="33"/>
    </row>
    <row r="30" spans="1:16" x14ac:dyDescent="0.3">
      <c r="A30" s="6">
        <v>27</v>
      </c>
      <c r="B30" s="7"/>
      <c r="C30" s="7"/>
      <c r="D30" s="7"/>
      <c r="E30" s="7"/>
      <c r="F30" s="7"/>
      <c r="G30" s="7"/>
      <c r="H30" s="18"/>
      <c r="I30" s="18"/>
      <c r="J30" s="18">
        <f t="shared" si="0"/>
        <v>0</v>
      </c>
      <c r="K30" s="18">
        <f t="shared" si="1"/>
        <v>0</v>
      </c>
      <c r="L30" s="18">
        <f t="shared" si="2"/>
        <v>0</v>
      </c>
      <c r="M30" s="20"/>
      <c r="N30" s="8"/>
      <c r="O30" s="29"/>
      <c r="P30" s="33"/>
    </row>
    <row r="31" spans="1:16" ht="14.4" thickBot="1" x14ac:dyDescent="0.35">
      <c r="A31" s="6">
        <v>28</v>
      </c>
      <c r="B31" s="9"/>
      <c r="C31" s="9"/>
      <c r="D31" s="9"/>
      <c r="E31" s="9"/>
      <c r="F31" s="9"/>
      <c r="G31" s="9"/>
      <c r="H31" s="23"/>
      <c r="I31" s="23"/>
      <c r="J31" s="18">
        <f t="shared" si="0"/>
        <v>0</v>
      </c>
      <c r="K31" s="18">
        <f t="shared" si="1"/>
        <v>0</v>
      </c>
      <c r="L31" s="18">
        <f t="shared" si="2"/>
        <v>0</v>
      </c>
      <c r="M31" s="24"/>
      <c r="N31" s="10"/>
      <c r="O31" s="31"/>
      <c r="P31" s="35"/>
    </row>
    <row r="32" spans="1:16" ht="14.4" thickBot="1" x14ac:dyDescent="0.35">
      <c r="A32" s="11"/>
      <c r="B32" s="12"/>
      <c r="C32" s="141"/>
      <c r="D32" s="13"/>
      <c r="E32" s="13"/>
      <c r="F32" s="13"/>
      <c r="G32" s="13">
        <f>SUM(G3:G31)</f>
        <v>16170</v>
      </c>
      <c r="H32" s="19">
        <f t="shared" ref="H32:M32" si="3">SUM(H3:H31)</f>
        <v>56144</v>
      </c>
      <c r="I32" s="19">
        <f t="shared" si="3"/>
        <v>5476.4</v>
      </c>
      <c r="J32" s="19">
        <f t="shared" si="3"/>
        <v>66837.600000000006</v>
      </c>
      <c r="K32" s="19">
        <f t="shared" si="3"/>
        <v>11024.567999999999</v>
      </c>
      <c r="L32" s="19">
        <f t="shared" si="3"/>
        <v>77862.168000000005</v>
      </c>
      <c r="M32" s="25">
        <f t="shared" si="3"/>
        <v>0</v>
      </c>
      <c r="N32" s="14"/>
      <c r="O32" s="32">
        <f>SUM(O3:O31)</f>
        <v>372634</v>
      </c>
      <c r="P32" s="36">
        <f>J32/O32</f>
        <v>0.17936527531035817</v>
      </c>
    </row>
    <row r="33" spans="7:12" ht="15" customHeight="1" x14ac:dyDescent="0.3">
      <c r="I33" s="16">
        <f>I32/J32</f>
        <v>8.1935916310579657E-2</v>
      </c>
    </row>
    <row r="34" spans="7:12" ht="15" customHeight="1" x14ac:dyDescent="0.3">
      <c r="L34" s="17"/>
    </row>
    <row r="35" spans="7:12" x14ac:dyDescent="0.3">
      <c r="G35" s="125"/>
    </row>
    <row r="37" spans="7:12" x14ac:dyDescent="0.3">
      <c r="L37" s="37"/>
    </row>
    <row r="38" spans="7:12" x14ac:dyDescent="0.3">
      <c r="L38" s="3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690F-0DEA-4FFD-AC37-97B66655BA05}">
  <dimension ref="A1:R41"/>
  <sheetViews>
    <sheetView topLeftCell="A13" zoomScaleNormal="100" workbookViewId="0">
      <selection activeCell="D18" sqref="D18"/>
    </sheetView>
  </sheetViews>
  <sheetFormatPr defaultRowHeight="14.4" x14ac:dyDescent="0.3"/>
  <cols>
    <col min="1" max="1" width="5.5546875" bestFit="1" customWidth="1"/>
    <col min="2" max="2" width="20.77734375" bestFit="1" customWidth="1"/>
    <col min="3" max="3" width="14.33203125" bestFit="1" customWidth="1"/>
    <col min="4" max="4" width="18.33203125" customWidth="1"/>
    <col min="5" max="5" width="13.44140625" customWidth="1"/>
    <col min="6" max="6" width="9.77734375" bestFit="1" customWidth="1"/>
    <col min="7" max="7" width="16.88671875" bestFit="1" customWidth="1"/>
    <col min="8" max="8" width="16.88671875" customWidth="1"/>
    <col min="9" max="9" width="11.77734375" bestFit="1" customWidth="1"/>
    <col min="11" max="11" width="8.77734375" bestFit="1" customWidth="1"/>
    <col min="13" max="13" width="14.21875" bestFit="1" customWidth="1"/>
    <col min="14" max="15" width="16.5546875" bestFit="1" customWidth="1"/>
    <col min="16" max="16" width="12.77734375" bestFit="1" customWidth="1"/>
    <col min="17" max="17" width="18.21875" bestFit="1" customWidth="1"/>
    <col min="18" max="18" width="7.109375" bestFit="1" customWidth="1"/>
  </cols>
  <sheetData>
    <row r="1" spans="1:18" ht="15" thickBot="1" x14ac:dyDescent="0.35"/>
    <row r="2" spans="1:18" x14ac:dyDescent="0.3">
      <c r="A2" s="46" t="s">
        <v>21</v>
      </c>
      <c r="B2" s="47" t="s">
        <v>0</v>
      </c>
      <c r="C2" s="47" t="s">
        <v>24</v>
      </c>
      <c r="D2" s="2" t="s">
        <v>119</v>
      </c>
      <c r="E2" s="47" t="s">
        <v>1</v>
      </c>
      <c r="F2" s="47" t="s">
        <v>19</v>
      </c>
      <c r="G2" s="47" t="s">
        <v>2</v>
      </c>
      <c r="H2" s="47" t="s">
        <v>25</v>
      </c>
      <c r="I2" s="47" t="s">
        <v>75</v>
      </c>
      <c r="J2" s="47" t="s">
        <v>11</v>
      </c>
      <c r="K2" s="47" t="s">
        <v>78</v>
      </c>
      <c r="L2" s="47" t="s">
        <v>3</v>
      </c>
      <c r="M2" s="47" t="s">
        <v>16</v>
      </c>
      <c r="N2" s="48" t="s">
        <v>38</v>
      </c>
      <c r="O2" s="48" t="s">
        <v>20</v>
      </c>
      <c r="P2" s="49" t="s">
        <v>4</v>
      </c>
      <c r="Q2" s="50" t="s">
        <v>28</v>
      </c>
      <c r="R2" s="49" t="s">
        <v>29</v>
      </c>
    </row>
    <row r="3" spans="1:18" x14ac:dyDescent="0.3">
      <c r="A3" s="51">
        <v>1</v>
      </c>
      <c r="B3" s="52" t="s">
        <v>12</v>
      </c>
      <c r="C3" s="52" t="s">
        <v>33</v>
      </c>
      <c r="D3" s="7"/>
      <c r="E3" s="52">
        <v>9820882211</v>
      </c>
      <c r="F3" s="52">
        <v>9</v>
      </c>
      <c r="G3" s="52" t="s">
        <v>32</v>
      </c>
      <c r="H3" s="52">
        <v>0</v>
      </c>
      <c r="I3" s="53">
        <v>12830</v>
      </c>
      <c r="J3" s="53">
        <v>3230</v>
      </c>
      <c r="K3" s="53">
        <f>H3+I3-J3</f>
        <v>9600</v>
      </c>
      <c r="L3" s="53">
        <f t="shared" ref="L3:L11" si="0">K3*18%</f>
        <v>1728</v>
      </c>
      <c r="M3" s="87">
        <f t="shared" ref="M3:M11" si="1">K3+L3</f>
        <v>11328</v>
      </c>
      <c r="N3" s="89"/>
      <c r="O3" s="54">
        <v>0</v>
      </c>
      <c r="P3" s="55" t="s">
        <v>30</v>
      </c>
      <c r="Q3" s="56">
        <v>118790</v>
      </c>
      <c r="R3" s="57">
        <f>K3/Q3</f>
        <v>8.0814883407694244E-2</v>
      </c>
    </row>
    <row r="4" spans="1:18" x14ac:dyDescent="0.3">
      <c r="A4" s="51">
        <v>2</v>
      </c>
      <c r="B4" s="52" t="s">
        <v>31</v>
      </c>
      <c r="C4" s="52"/>
      <c r="D4" s="52"/>
      <c r="E4" s="52">
        <v>9820167690</v>
      </c>
      <c r="F4" s="52">
        <v>10</v>
      </c>
      <c r="G4" s="52" t="s">
        <v>32</v>
      </c>
      <c r="H4" s="52">
        <v>1260</v>
      </c>
      <c r="I4" s="53">
        <v>0</v>
      </c>
      <c r="J4" s="53">
        <v>60</v>
      </c>
      <c r="K4" s="53">
        <f t="shared" ref="K4:K32" si="2">H4+I4-J4</f>
        <v>1200</v>
      </c>
      <c r="L4" s="53">
        <f t="shared" si="0"/>
        <v>216</v>
      </c>
      <c r="M4" s="87">
        <f t="shared" si="1"/>
        <v>1416</v>
      </c>
      <c r="N4" s="89"/>
      <c r="O4" s="58">
        <v>0</v>
      </c>
      <c r="P4" s="55" t="s">
        <v>30</v>
      </c>
      <c r="Q4" s="56">
        <f>H4</f>
        <v>1260</v>
      </c>
      <c r="R4" s="57">
        <f>K4/Q4</f>
        <v>0.95238095238095233</v>
      </c>
    </row>
    <row r="5" spans="1:18" x14ac:dyDescent="0.3">
      <c r="A5" s="51">
        <v>3</v>
      </c>
      <c r="B5" s="52" t="s">
        <v>40</v>
      </c>
      <c r="C5" s="52"/>
      <c r="D5" s="7" t="s">
        <v>123</v>
      </c>
      <c r="E5" s="59">
        <v>9821561159</v>
      </c>
      <c r="F5" s="52">
        <v>11</v>
      </c>
      <c r="G5" s="52" t="s">
        <v>34</v>
      </c>
      <c r="H5" s="52">
        <v>0</v>
      </c>
      <c r="I5" s="53">
        <v>3258</v>
      </c>
      <c r="J5" s="53">
        <v>0</v>
      </c>
      <c r="K5" s="53">
        <f t="shared" si="2"/>
        <v>3258</v>
      </c>
      <c r="L5" s="53">
        <f t="shared" si="0"/>
        <v>586.43999999999994</v>
      </c>
      <c r="M5" s="87">
        <f t="shared" si="1"/>
        <v>3844.44</v>
      </c>
      <c r="N5" s="89"/>
      <c r="O5" s="58">
        <v>0</v>
      </c>
      <c r="P5" s="55" t="s">
        <v>30</v>
      </c>
      <c r="Q5" s="56">
        <v>28940</v>
      </c>
      <c r="R5" s="57">
        <f>M5/Q5</f>
        <v>0.13284174153420872</v>
      </c>
    </row>
    <row r="6" spans="1:18" x14ac:dyDescent="0.3">
      <c r="A6" s="51">
        <v>4</v>
      </c>
      <c r="B6" s="60" t="s">
        <v>35</v>
      </c>
      <c r="C6" s="60"/>
      <c r="D6" s="7" t="s">
        <v>135</v>
      </c>
      <c r="E6" s="52">
        <v>9004696778</v>
      </c>
      <c r="F6" s="60">
        <v>12</v>
      </c>
      <c r="G6" s="60" t="s">
        <v>41</v>
      </c>
      <c r="H6" s="60">
        <v>0</v>
      </c>
      <c r="I6" s="61">
        <v>9800</v>
      </c>
      <c r="J6" s="61">
        <v>0</v>
      </c>
      <c r="K6" s="53">
        <f t="shared" si="2"/>
        <v>9800</v>
      </c>
      <c r="L6" s="61">
        <f t="shared" si="0"/>
        <v>1764</v>
      </c>
      <c r="M6" s="61">
        <f t="shared" si="1"/>
        <v>11564</v>
      </c>
      <c r="N6" s="90">
        <v>0</v>
      </c>
      <c r="O6" s="62">
        <v>0</v>
      </c>
      <c r="P6" s="63" t="s">
        <v>30</v>
      </c>
      <c r="Q6" s="64">
        <f>250*100</f>
        <v>25000</v>
      </c>
      <c r="R6" s="57">
        <f>K6/Q6</f>
        <v>0.39200000000000002</v>
      </c>
    </row>
    <row r="7" spans="1:18" x14ac:dyDescent="0.3">
      <c r="A7" s="65">
        <v>5</v>
      </c>
      <c r="B7" s="60" t="s">
        <v>36</v>
      </c>
      <c r="C7" s="60"/>
      <c r="D7" s="7" t="s">
        <v>132</v>
      </c>
      <c r="E7" s="60">
        <v>9821163571</v>
      </c>
      <c r="F7" s="60">
        <v>13</v>
      </c>
      <c r="G7" s="60" t="s">
        <v>37</v>
      </c>
      <c r="H7" s="60">
        <v>0</v>
      </c>
      <c r="I7" s="61">
        <v>4200</v>
      </c>
      <c r="J7" s="61">
        <v>2400</v>
      </c>
      <c r="K7" s="53">
        <f t="shared" si="2"/>
        <v>1800</v>
      </c>
      <c r="L7" s="61">
        <f t="shared" si="0"/>
        <v>324</v>
      </c>
      <c r="M7" s="61">
        <f t="shared" si="1"/>
        <v>2124</v>
      </c>
      <c r="N7" s="90"/>
      <c r="O7" s="62">
        <v>0</v>
      </c>
      <c r="P7" s="63" t="s">
        <v>30</v>
      </c>
      <c r="Q7" s="64">
        <f>2500*12</f>
        <v>30000</v>
      </c>
      <c r="R7" s="57">
        <f>K7/Q7</f>
        <v>0.06</v>
      </c>
    </row>
    <row r="8" spans="1:18" x14ac:dyDescent="0.3">
      <c r="A8" s="51">
        <v>6</v>
      </c>
      <c r="B8" s="60" t="s">
        <v>39</v>
      </c>
      <c r="C8" s="60"/>
      <c r="D8" s="7"/>
      <c r="E8" s="60">
        <v>9892059186</v>
      </c>
      <c r="F8" s="60">
        <v>14</v>
      </c>
      <c r="G8" s="60" t="s">
        <v>37</v>
      </c>
      <c r="H8" s="60">
        <v>0</v>
      </c>
      <c r="I8" s="61">
        <v>850</v>
      </c>
      <c r="J8" s="61">
        <v>0</v>
      </c>
      <c r="K8" s="53">
        <f t="shared" si="2"/>
        <v>850</v>
      </c>
      <c r="L8" s="61">
        <f t="shared" si="0"/>
        <v>153</v>
      </c>
      <c r="M8" s="61">
        <f t="shared" si="1"/>
        <v>1003</v>
      </c>
      <c r="N8" s="90"/>
      <c r="O8" s="62"/>
      <c r="P8" s="63" t="s">
        <v>30</v>
      </c>
      <c r="Q8" s="64">
        <v>9415</v>
      </c>
      <c r="R8" s="57">
        <f>K8/Q8</f>
        <v>9.0281465746149758E-2</v>
      </c>
    </row>
    <row r="9" spans="1:18" x14ac:dyDescent="0.3">
      <c r="A9" s="65">
        <v>7</v>
      </c>
      <c r="B9" s="60" t="s">
        <v>44</v>
      </c>
      <c r="C9" s="60"/>
      <c r="D9" s="7" t="s">
        <v>130</v>
      </c>
      <c r="E9" s="60">
        <v>9552525257</v>
      </c>
      <c r="F9" s="60">
        <v>15</v>
      </c>
      <c r="G9" s="60" t="s">
        <v>45</v>
      </c>
      <c r="H9" s="60">
        <v>0</v>
      </c>
      <c r="I9" s="61">
        <v>2630</v>
      </c>
      <c r="J9" s="61">
        <v>184</v>
      </c>
      <c r="K9" s="87">
        <f t="shared" si="2"/>
        <v>2446</v>
      </c>
      <c r="L9" s="61">
        <f t="shared" si="0"/>
        <v>440.28</v>
      </c>
      <c r="M9" s="61">
        <f t="shared" si="1"/>
        <v>2886.2799999999997</v>
      </c>
      <c r="N9" s="62">
        <v>0</v>
      </c>
      <c r="O9" s="62">
        <v>0</v>
      </c>
      <c r="P9" s="63" t="s">
        <v>30</v>
      </c>
      <c r="Q9" s="64">
        <v>32400</v>
      </c>
      <c r="R9" s="116">
        <f>K9/Q9</f>
        <v>7.5493827160493826E-2</v>
      </c>
    </row>
    <row r="10" spans="1:18" x14ac:dyDescent="0.3">
      <c r="A10" s="65">
        <v>8</v>
      </c>
      <c r="B10" s="60" t="s">
        <v>42</v>
      </c>
      <c r="C10" s="60"/>
      <c r="D10" s="7"/>
      <c r="E10" s="7">
        <v>9820628870</v>
      </c>
      <c r="F10" s="60">
        <v>16</v>
      </c>
      <c r="G10" s="60" t="s">
        <v>43</v>
      </c>
      <c r="H10" s="60">
        <v>0</v>
      </c>
      <c r="I10" s="61">
        <v>1000</v>
      </c>
      <c r="J10" s="61">
        <v>0</v>
      </c>
      <c r="K10" s="53">
        <f t="shared" si="2"/>
        <v>1000</v>
      </c>
      <c r="L10" s="61">
        <f t="shared" si="0"/>
        <v>180</v>
      </c>
      <c r="M10" s="61">
        <f t="shared" si="1"/>
        <v>1180</v>
      </c>
      <c r="N10" s="90"/>
      <c r="O10" s="62">
        <v>0</v>
      </c>
      <c r="P10" s="63" t="s">
        <v>30</v>
      </c>
      <c r="Q10" s="64">
        <f>1500*3</f>
        <v>4500</v>
      </c>
      <c r="R10" s="57">
        <f>K10/Q10</f>
        <v>0.22222222222222221</v>
      </c>
    </row>
    <row r="11" spans="1:18" x14ac:dyDescent="0.3">
      <c r="A11" s="65">
        <v>9</v>
      </c>
      <c r="B11" s="60" t="s">
        <v>46</v>
      </c>
      <c r="C11" s="60"/>
      <c r="D11" s="7" t="s">
        <v>134</v>
      </c>
      <c r="E11" s="60"/>
      <c r="F11" s="60">
        <v>17</v>
      </c>
      <c r="G11" s="60" t="s">
        <v>45</v>
      </c>
      <c r="H11" s="60">
        <v>0</v>
      </c>
      <c r="I11" s="61">
        <v>2600</v>
      </c>
      <c r="J11" s="61">
        <v>0</v>
      </c>
      <c r="K11" s="53">
        <f t="shared" si="2"/>
        <v>2600</v>
      </c>
      <c r="L11" s="61">
        <f t="shared" si="0"/>
        <v>468</v>
      </c>
      <c r="M11" s="61">
        <f t="shared" si="1"/>
        <v>3068</v>
      </c>
      <c r="N11" s="90"/>
      <c r="O11" s="62">
        <v>0</v>
      </c>
      <c r="P11" s="63"/>
      <c r="Q11" s="64"/>
      <c r="R11" s="57"/>
    </row>
    <row r="12" spans="1:18" x14ac:dyDescent="0.3">
      <c r="A12" s="65"/>
      <c r="B12" s="60"/>
      <c r="C12" s="60"/>
      <c r="D12" s="7"/>
      <c r="E12" s="60"/>
      <c r="F12" s="60"/>
      <c r="G12" s="60"/>
      <c r="H12" s="60"/>
      <c r="I12" s="61"/>
      <c r="J12" s="61"/>
      <c r="K12" s="53">
        <f t="shared" si="2"/>
        <v>0</v>
      </c>
      <c r="L12" s="61"/>
      <c r="M12" s="61"/>
      <c r="N12" s="90"/>
      <c r="O12" s="62"/>
      <c r="P12" s="63"/>
      <c r="Q12" s="64"/>
      <c r="R12" s="66"/>
    </row>
    <row r="13" spans="1:18" x14ac:dyDescent="0.3">
      <c r="A13" s="51"/>
      <c r="B13" s="60"/>
      <c r="C13" s="60"/>
      <c r="D13" s="60"/>
      <c r="E13" s="60"/>
      <c r="F13" s="60"/>
      <c r="G13" s="60"/>
      <c r="H13" s="60"/>
      <c r="I13" s="61"/>
      <c r="J13" s="61"/>
      <c r="K13" s="53">
        <f t="shared" si="2"/>
        <v>0</v>
      </c>
      <c r="L13" s="61"/>
      <c r="M13" s="61"/>
      <c r="N13" s="90"/>
      <c r="O13" s="62"/>
      <c r="P13" s="63"/>
      <c r="Q13" s="64"/>
      <c r="R13" s="66"/>
    </row>
    <row r="14" spans="1:18" x14ac:dyDescent="0.3">
      <c r="A14" s="51"/>
      <c r="B14" s="52"/>
      <c r="C14" s="52"/>
      <c r="D14" s="52"/>
      <c r="E14" s="52"/>
      <c r="F14" s="52"/>
      <c r="G14" s="52"/>
      <c r="H14" s="52"/>
      <c r="I14" s="67"/>
      <c r="J14" s="67"/>
      <c r="K14" s="53">
        <f t="shared" si="2"/>
        <v>0</v>
      </c>
      <c r="L14" s="67"/>
      <c r="M14" s="67"/>
      <c r="N14" s="90"/>
      <c r="O14" s="68"/>
      <c r="P14" s="55"/>
      <c r="Q14" s="69"/>
      <c r="R14" s="70"/>
    </row>
    <row r="15" spans="1:18" x14ac:dyDescent="0.3">
      <c r="A15" s="51"/>
      <c r="B15" s="52"/>
      <c r="C15" s="52"/>
      <c r="D15" s="52"/>
      <c r="E15" s="52"/>
      <c r="F15" s="52"/>
      <c r="G15" s="52"/>
      <c r="H15" s="52"/>
      <c r="I15" s="67"/>
      <c r="J15" s="67"/>
      <c r="K15" s="53">
        <f t="shared" si="2"/>
        <v>0</v>
      </c>
      <c r="L15" s="67">
        <f t="shared" ref="L15:L32" si="3">K15*18%</f>
        <v>0</v>
      </c>
      <c r="M15" s="67">
        <f t="shared" ref="M15:M32" si="4">K15+L15</f>
        <v>0</v>
      </c>
      <c r="N15" s="90"/>
      <c r="O15" s="68"/>
      <c r="P15" s="55"/>
      <c r="Q15" s="69"/>
      <c r="R15" s="70"/>
    </row>
    <row r="16" spans="1:18" x14ac:dyDescent="0.3">
      <c r="A16" s="51"/>
      <c r="B16" s="52"/>
      <c r="C16" s="52"/>
      <c r="D16" s="52"/>
      <c r="E16" s="52"/>
      <c r="F16" s="52"/>
      <c r="G16" s="52"/>
      <c r="H16" s="52"/>
      <c r="I16" s="53"/>
      <c r="J16" s="53"/>
      <c r="K16" s="53">
        <f t="shared" si="2"/>
        <v>0</v>
      </c>
      <c r="L16" s="53">
        <f t="shared" si="3"/>
        <v>0</v>
      </c>
      <c r="M16" s="53">
        <f t="shared" si="4"/>
        <v>0</v>
      </c>
      <c r="N16" s="89"/>
      <c r="O16" s="58"/>
      <c r="P16" s="55"/>
      <c r="Q16" s="56"/>
      <c r="R16" s="57"/>
    </row>
    <row r="17" spans="1:18" x14ac:dyDescent="0.3">
      <c r="A17" s="51"/>
      <c r="B17" s="52"/>
      <c r="C17" s="52"/>
      <c r="D17" s="52"/>
      <c r="E17" s="52"/>
      <c r="F17" s="52"/>
      <c r="G17" s="52"/>
      <c r="H17" s="52"/>
      <c r="I17" s="53"/>
      <c r="J17" s="53"/>
      <c r="K17" s="53">
        <f t="shared" si="2"/>
        <v>0</v>
      </c>
      <c r="L17" s="53">
        <f t="shared" si="3"/>
        <v>0</v>
      </c>
      <c r="M17" s="53">
        <f t="shared" si="4"/>
        <v>0</v>
      </c>
      <c r="N17" s="89"/>
      <c r="O17" s="58"/>
      <c r="P17" s="55"/>
      <c r="Q17" s="56"/>
      <c r="R17" s="57"/>
    </row>
    <row r="18" spans="1:18" x14ac:dyDescent="0.3">
      <c r="A18" s="51"/>
      <c r="B18" s="52"/>
      <c r="C18" s="52"/>
      <c r="D18" s="52"/>
      <c r="E18" s="52"/>
      <c r="F18" s="52"/>
      <c r="G18" s="52"/>
      <c r="H18" s="52"/>
      <c r="I18" s="53"/>
      <c r="J18" s="53"/>
      <c r="K18" s="53">
        <f t="shared" si="2"/>
        <v>0</v>
      </c>
      <c r="L18" s="53">
        <f t="shared" si="3"/>
        <v>0</v>
      </c>
      <c r="M18" s="53">
        <f t="shared" si="4"/>
        <v>0</v>
      </c>
      <c r="N18" s="89"/>
      <c r="O18" s="58"/>
      <c r="P18" s="55"/>
      <c r="Q18" s="56"/>
      <c r="R18" s="57"/>
    </row>
    <row r="19" spans="1:18" x14ac:dyDescent="0.3">
      <c r="A19" s="51"/>
      <c r="B19" s="52"/>
      <c r="C19" s="52"/>
      <c r="D19" s="52"/>
      <c r="E19" s="52"/>
      <c r="F19" s="52"/>
      <c r="G19" s="52"/>
      <c r="H19" s="52"/>
      <c r="I19" s="53"/>
      <c r="J19" s="53"/>
      <c r="K19" s="53">
        <f t="shared" si="2"/>
        <v>0</v>
      </c>
      <c r="L19" s="53">
        <f t="shared" si="3"/>
        <v>0</v>
      </c>
      <c r="M19" s="53">
        <f t="shared" si="4"/>
        <v>0</v>
      </c>
      <c r="N19" s="89"/>
      <c r="O19" s="58"/>
      <c r="P19" s="55"/>
      <c r="Q19" s="56"/>
      <c r="R19" s="57"/>
    </row>
    <row r="20" spans="1:18" x14ac:dyDescent="0.3">
      <c r="A20" s="51"/>
      <c r="B20" s="52"/>
      <c r="C20" s="52"/>
      <c r="D20" s="52"/>
      <c r="E20" s="52"/>
      <c r="F20" s="52"/>
      <c r="G20" s="52"/>
      <c r="H20" s="52"/>
      <c r="I20" s="53"/>
      <c r="J20" s="53"/>
      <c r="K20" s="53">
        <f t="shared" si="2"/>
        <v>0</v>
      </c>
      <c r="L20" s="53">
        <f t="shared" si="3"/>
        <v>0</v>
      </c>
      <c r="M20" s="53">
        <f t="shared" si="4"/>
        <v>0</v>
      </c>
      <c r="N20" s="89"/>
      <c r="O20" s="58"/>
      <c r="P20" s="55"/>
      <c r="Q20" s="56"/>
      <c r="R20" s="57"/>
    </row>
    <row r="21" spans="1:18" x14ac:dyDescent="0.3">
      <c r="A21" s="51"/>
      <c r="B21" s="52"/>
      <c r="C21" s="52"/>
      <c r="D21" s="52"/>
      <c r="E21" s="52"/>
      <c r="F21" s="52"/>
      <c r="G21" s="52"/>
      <c r="H21" s="52"/>
      <c r="I21" s="53"/>
      <c r="J21" s="53"/>
      <c r="K21" s="53">
        <f t="shared" si="2"/>
        <v>0</v>
      </c>
      <c r="L21" s="53">
        <f t="shared" si="3"/>
        <v>0</v>
      </c>
      <c r="M21" s="53">
        <f t="shared" si="4"/>
        <v>0</v>
      </c>
      <c r="N21" s="89"/>
      <c r="O21" s="58"/>
      <c r="P21" s="55"/>
      <c r="Q21" s="56"/>
      <c r="R21" s="57"/>
    </row>
    <row r="22" spans="1:18" x14ac:dyDescent="0.3">
      <c r="A22" s="51"/>
      <c r="B22" s="52"/>
      <c r="C22" s="52"/>
      <c r="D22" s="52"/>
      <c r="E22" s="52"/>
      <c r="F22" s="52"/>
      <c r="G22" s="52"/>
      <c r="H22" s="52"/>
      <c r="I22" s="53"/>
      <c r="J22" s="53"/>
      <c r="K22" s="53">
        <f t="shared" si="2"/>
        <v>0</v>
      </c>
      <c r="L22" s="53">
        <f t="shared" si="3"/>
        <v>0</v>
      </c>
      <c r="M22" s="53">
        <f t="shared" si="4"/>
        <v>0</v>
      </c>
      <c r="N22" s="89"/>
      <c r="O22" s="58"/>
      <c r="P22" s="55"/>
      <c r="Q22" s="56"/>
      <c r="R22" s="57"/>
    </row>
    <row r="23" spans="1:18" x14ac:dyDescent="0.3">
      <c r="A23" s="51"/>
      <c r="B23" s="52"/>
      <c r="C23" s="52"/>
      <c r="D23" s="52"/>
      <c r="E23" s="52"/>
      <c r="F23" s="52"/>
      <c r="G23" s="52"/>
      <c r="H23" s="52"/>
      <c r="I23" s="53"/>
      <c r="J23" s="53"/>
      <c r="K23" s="53">
        <f t="shared" si="2"/>
        <v>0</v>
      </c>
      <c r="L23" s="53">
        <f t="shared" si="3"/>
        <v>0</v>
      </c>
      <c r="M23" s="53">
        <f t="shared" si="4"/>
        <v>0</v>
      </c>
      <c r="N23" s="89"/>
      <c r="O23" s="58"/>
      <c r="P23" s="55"/>
      <c r="Q23" s="56"/>
      <c r="R23" s="57"/>
    </row>
    <row r="24" spans="1:18" x14ac:dyDescent="0.3">
      <c r="A24" s="51"/>
      <c r="B24" s="52"/>
      <c r="C24" s="52"/>
      <c r="D24" s="52"/>
      <c r="E24" s="52"/>
      <c r="F24" s="52"/>
      <c r="G24" s="52"/>
      <c r="H24" s="52"/>
      <c r="I24" s="53"/>
      <c r="J24" s="53"/>
      <c r="K24" s="53">
        <f t="shared" si="2"/>
        <v>0</v>
      </c>
      <c r="L24" s="53">
        <f t="shared" si="3"/>
        <v>0</v>
      </c>
      <c r="M24" s="53">
        <f t="shared" si="4"/>
        <v>0</v>
      </c>
      <c r="N24" s="89"/>
      <c r="O24" s="58"/>
      <c r="P24" s="55"/>
      <c r="Q24" s="56"/>
      <c r="R24" s="57"/>
    </row>
    <row r="25" spans="1:18" x14ac:dyDescent="0.3">
      <c r="A25" s="51"/>
      <c r="B25" s="52"/>
      <c r="C25" s="52"/>
      <c r="D25" s="52"/>
      <c r="E25" s="52"/>
      <c r="F25" s="52"/>
      <c r="G25" s="52"/>
      <c r="H25" s="52"/>
      <c r="I25" s="53"/>
      <c r="J25" s="53"/>
      <c r="K25" s="53">
        <f t="shared" si="2"/>
        <v>0</v>
      </c>
      <c r="L25" s="53">
        <f t="shared" si="3"/>
        <v>0</v>
      </c>
      <c r="M25" s="53">
        <f t="shared" si="4"/>
        <v>0</v>
      </c>
      <c r="N25" s="89"/>
      <c r="O25" s="58"/>
      <c r="P25" s="55"/>
      <c r="Q25" s="56"/>
      <c r="R25" s="57"/>
    </row>
    <row r="26" spans="1:18" x14ac:dyDescent="0.3">
      <c r="A26" s="51"/>
      <c r="B26" s="52"/>
      <c r="C26" s="52"/>
      <c r="D26" s="52"/>
      <c r="E26" s="52"/>
      <c r="F26" s="52"/>
      <c r="G26" s="52"/>
      <c r="H26" s="52"/>
      <c r="I26" s="53"/>
      <c r="J26" s="53"/>
      <c r="K26" s="53">
        <f t="shared" si="2"/>
        <v>0</v>
      </c>
      <c r="L26" s="53">
        <f t="shared" si="3"/>
        <v>0</v>
      </c>
      <c r="M26" s="53">
        <f t="shared" si="4"/>
        <v>0</v>
      </c>
      <c r="N26" s="89"/>
      <c r="O26" s="58"/>
      <c r="P26" s="55"/>
      <c r="Q26" s="56"/>
      <c r="R26" s="57"/>
    </row>
    <row r="27" spans="1:18" x14ac:dyDescent="0.3">
      <c r="A27" s="51"/>
      <c r="B27" s="52"/>
      <c r="C27" s="52"/>
      <c r="D27" s="52"/>
      <c r="E27" s="52"/>
      <c r="F27" s="52"/>
      <c r="G27" s="52"/>
      <c r="H27" s="52"/>
      <c r="I27" s="53"/>
      <c r="J27" s="53"/>
      <c r="K27" s="53">
        <f t="shared" si="2"/>
        <v>0</v>
      </c>
      <c r="L27" s="53">
        <f t="shared" si="3"/>
        <v>0</v>
      </c>
      <c r="M27" s="53">
        <f t="shared" si="4"/>
        <v>0</v>
      </c>
      <c r="N27" s="89"/>
      <c r="O27" s="58"/>
      <c r="P27" s="55"/>
      <c r="Q27" s="56"/>
      <c r="R27" s="57"/>
    </row>
    <row r="28" spans="1:18" x14ac:dyDescent="0.3">
      <c r="A28" s="51"/>
      <c r="B28" s="52"/>
      <c r="C28" s="52"/>
      <c r="D28" s="52"/>
      <c r="E28" s="52"/>
      <c r="F28" s="52"/>
      <c r="G28" s="52"/>
      <c r="H28" s="52"/>
      <c r="I28" s="53"/>
      <c r="J28" s="53"/>
      <c r="K28" s="53">
        <f t="shared" si="2"/>
        <v>0</v>
      </c>
      <c r="L28" s="53">
        <f t="shared" si="3"/>
        <v>0</v>
      </c>
      <c r="M28" s="53">
        <f t="shared" si="4"/>
        <v>0</v>
      </c>
      <c r="N28" s="89"/>
      <c r="O28" s="58"/>
      <c r="P28" s="55"/>
      <c r="Q28" s="56"/>
      <c r="R28" s="57"/>
    </row>
    <row r="29" spans="1:18" x14ac:dyDescent="0.3">
      <c r="A29" s="51"/>
      <c r="B29" s="52"/>
      <c r="C29" s="52"/>
      <c r="D29" s="52"/>
      <c r="E29" s="52"/>
      <c r="F29" s="52"/>
      <c r="G29" s="52"/>
      <c r="H29" s="52"/>
      <c r="I29" s="53"/>
      <c r="J29" s="53"/>
      <c r="K29" s="53">
        <f t="shared" si="2"/>
        <v>0</v>
      </c>
      <c r="L29" s="53">
        <f t="shared" si="3"/>
        <v>0</v>
      </c>
      <c r="M29" s="53">
        <f t="shared" si="4"/>
        <v>0</v>
      </c>
      <c r="N29" s="89"/>
      <c r="O29" s="58"/>
      <c r="P29" s="55"/>
      <c r="Q29" s="56"/>
      <c r="R29" s="57"/>
    </row>
    <row r="30" spans="1:18" x14ac:dyDescent="0.3">
      <c r="A30" s="51"/>
      <c r="B30" s="52"/>
      <c r="C30" s="52"/>
      <c r="D30" s="52"/>
      <c r="E30" s="52"/>
      <c r="F30" s="52"/>
      <c r="G30" s="52"/>
      <c r="H30" s="52"/>
      <c r="I30" s="53"/>
      <c r="J30" s="53"/>
      <c r="K30" s="53">
        <f t="shared" si="2"/>
        <v>0</v>
      </c>
      <c r="L30" s="53">
        <f t="shared" si="3"/>
        <v>0</v>
      </c>
      <c r="M30" s="53">
        <f t="shared" si="4"/>
        <v>0</v>
      </c>
      <c r="N30" s="89"/>
      <c r="O30" s="58"/>
      <c r="P30" s="55"/>
      <c r="Q30" s="56"/>
      <c r="R30" s="57"/>
    </row>
    <row r="31" spans="1:18" x14ac:dyDescent="0.3">
      <c r="A31" s="51"/>
      <c r="B31" s="52"/>
      <c r="C31" s="52"/>
      <c r="D31" s="52"/>
      <c r="E31" s="52"/>
      <c r="F31" s="52"/>
      <c r="G31" s="52"/>
      <c r="H31" s="52"/>
      <c r="I31" s="53"/>
      <c r="J31" s="53"/>
      <c r="K31" s="53">
        <f t="shared" si="2"/>
        <v>0</v>
      </c>
      <c r="L31" s="53">
        <f t="shared" si="3"/>
        <v>0</v>
      </c>
      <c r="M31" s="53">
        <f t="shared" si="4"/>
        <v>0</v>
      </c>
      <c r="N31" s="89"/>
      <c r="O31" s="58"/>
      <c r="P31" s="55"/>
      <c r="Q31" s="56"/>
      <c r="R31" s="57"/>
    </row>
    <row r="32" spans="1:18" ht="15" thickBot="1" x14ac:dyDescent="0.35">
      <c r="A32" s="51"/>
      <c r="B32" s="71"/>
      <c r="C32" s="71"/>
      <c r="D32" s="71"/>
      <c r="E32" s="71"/>
      <c r="F32" s="71"/>
      <c r="G32" s="71"/>
      <c r="H32" s="71"/>
      <c r="I32" s="72"/>
      <c r="J32" s="72"/>
      <c r="K32" s="53">
        <f t="shared" si="2"/>
        <v>0</v>
      </c>
      <c r="L32" s="53">
        <f t="shared" si="3"/>
        <v>0</v>
      </c>
      <c r="M32" s="53">
        <f t="shared" si="4"/>
        <v>0</v>
      </c>
      <c r="N32" s="91"/>
      <c r="O32" s="73"/>
      <c r="P32" s="74"/>
      <c r="Q32" s="75"/>
      <c r="R32" s="76"/>
    </row>
    <row r="33" spans="1:18" ht="15" thickBot="1" x14ac:dyDescent="0.35">
      <c r="A33" s="77"/>
      <c r="B33" s="78"/>
      <c r="C33" s="79"/>
      <c r="D33" s="79"/>
      <c r="E33" s="80"/>
      <c r="F33" s="80"/>
      <c r="G33" s="80"/>
      <c r="H33" s="80">
        <f>SUM(H3:H32)</f>
        <v>1260</v>
      </c>
      <c r="I33" s="81">
        <f t="shared" ref="I33:O33" si="5">SUM(I3:I32)</f>
        <v>37168</v>
      </c>
      <c r="J33" s="81">
        <f t="shared" si="5"/>
        <v>5874</v>
      </c>
      <c r="K33" s="81">
        <f t="shared" si="5"/>
        <v>32554</v>
      </c>
      <c r="L33" s="81">
        <f t="shared" si="5"/>
        <v>5859.72</v>
      </c>
      <c r="M33" s="81">
        <f>SUM(M3:M32)</f>
        <v>38413.72</v>
      </c>
      <c r="N33" s="82">
        <f>SUM(N3:N32)</f>
        <v>0</v>
      </c>
      <c r="O33" s="82">
        <f t="shared" si="5"/>
        <v>0</v>
      </c>
      <c r="P33" s="83"/>
      <c r="Q33" s="84">
        <f>SUM(Q3:Q32)</f>
        <v>250305</v>
      </c>
      <c r="R33" s="85">
        <f>K33/Q33</f>
        <v>0.13005733005733006</v>
      </c>
    </row>
    <row r="34" spans="1:18" ht="15" thickBot="1" x14ac:dyDescent="0.35">
      <c r="J34" s="126">
        <f>J33/I33</f>
        <v>0.15803917348256566</v>
      </c>
    </row>
    <row r="36" spans="1:18" x14ac:dyDescent="0.3">
      <c r="K36" s="86"/>
    </row>
    <row r="37" spans="1:18" x14ac:dyDescent="0.3">
      <c r="M37" s="45"/>
      <c r="N37" s="45"/>
      <c r="O37" s="45"/>
    </row>
    <row r="40" spans="1:18" x14ac:dyDescent="0.3">
      <c r="M40" s="86"/>
    </row>
    <row r="41" spans="1:18" x14ac:dyDescent="0.3">
      <c r="M41" s="45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434C-66D9-4D0C-8379-AB8BA11ED66D}">
  <dimension ref="A1:T46"/>
  <sheetViews>
    <sheetView topLeftCell="A3" zoomScaleNormal="100" workbookViewId="0">
      <selection activeCell="C14" sqref="C14"/>
    </sheetView>
  </sheetViews>
  <sheetFormatPr defaultRowHeight="14.4" x14ac:dyDescent="0.3"/>
  <cols>
    <col min="1" max="1" width="5.5546875" bestFit="1" customWidth="1"/>
    <col min="2" max="2" width="20.77734375" bestFit="1" customWidth="1"/>
    <col min="3" max="3" width="20.77734375" customWidth="1"/>
    <col min="4" max="4" width="13.44140625" bestFit="1" customWidth="1"/>
    <col min="5" max="5" width="9.77734375" bestFit="1" customWidth="1"/>
    <col min="6" max="6" width="15" customWidth="1"/>
    <col min="7" max="7" width="8.88671875" bestFit="1" customWidth="1"/>
    <col min="8" max="8" width="9.21875" bestFit="1" customWidth="1"/>
    <col min="9" max="9" width="16.5546875" bestFit="1" customWidth="1"/>
    <col min="10" max="10" width="9.33203125" bestFit="1" customWidth="1"/>
    <col min="11" max="11" width="11.33203125" bestFit="1" customWidth="1"/>
    <col min="12" max="12" width="9.88671875" bestFit="1" customWidth="1"/>
    <col min="13" max="13" width="16" bestFit="1" customWidth="1"/>
    <col min="14" max="14" width="16.5546875" bestFit="1" customWidth="1"/>
    <col min="15" max="15" width="12.77734375" customWidth="1"/>
    <col min="16" max="16" width="18.21875" bestFit="1" customWidth="1"/>
    <col min="17" max="17" width="6.109375" bestFit="1" customWidth="1"/>
  </cols>
  <sheetData>
    <row r="1" spans="1:20" x14ac:dyDescent="0.3">
      <c r="A1" s="46" t="s">
        <v>21</v>
      </c>
      <c r="B1" s="117" t="s">
        <v>0</v>
      </c>
      <c r="C1" s="2" t="s">
        <v>119</v>
      </c>
      <c r="D1" s="117" t="s">
        <v>1</v>
      </c>
      <c r="E1" s="117" t="s">
        <v>19</v>
      </c>
      <c r="F1" s="117" t="s">
        <v>2</v>
      </c>
      <c r="G1" s="117" t="s">
        <v>87</v>
      </c>
      <c r="H1" s="117" t="s">
        <v>25</v>
      </c>
      <c r="I1" s="117" t="s">
        <v>54</v>
      </c>
      <c r="J1" s="117" t="s">
        <v>86</v>
      </c>
      <c r="K1" s="117" t="s">
        <v>3</v>
      </c>
      <c r="L1" s="117" t="s">
        <v>79</v>
      </c>
      <c r="M1" s="118" t="s">
        <v>61</v>
      </c>
      <c r="N1" s="118" t="s">
        <v>20</v>
      </c>
      <c r="O1" s="119" t="s">
        <v>4</v>
      </c>
      <c r="P1" s="120" t="s">
        <v>28</v>
      </c>
      <c r="Q1" s="119" t="s">
        <v>29</v>
      </c>
    </row>
    <row r="2" spans="1:20" x14ac:dyDescent="0.3">
      <c r="A2" s="51">
        <v>1</v>
      </c>
      <c r="B2" s="60" t="s">
        <v>40</v>
      </c>
      <c r="C2" s="7" t="s">
        <v>123</v>
      </c>
      <c r="D2" s="115">
        <v>9821561159</v>
      </c>
      <c r="E2" s="60">
        <v>18</v>
      </c>
      <c r="F2" s="60" t="s">
        <v>47</v>
      </c>
      <c r="G2" s="87">
        <v>10610</v>
      </c>
      <c r="H2" s="87">
        <v>0</v>
      </c>
      <c r="I2" s="87">
        <v>1600</v>
      </c>
      <c r="J2" s="87">
        <f>G2+H2-I2</f>
        <v>9010</v>
      </c>
      <c r="K2" s="87">
        <f t="shared" ref="K2:K7" si="0">J2*18%</f>
        <v>1621.8</v>
      </c>
      <c r="L2" s="87">
        <f t="shared" ref="L2:L14" si="1">J2+K2</f>
        <v>10631.8</v>
      </c>
      <c r="M2" s="90">
        <f t="shared" ref="M2:M7" si="2">L2</f>
        <v>10631.8</v>
      </c>
      <c r="N2" s="54">
        <v>0</v>
      </c>
      <c r="O2" s="63" t="s">
        <v>30</v>
      </c>
      <c r="P2" s="121">
        <v>71620</v>
      </c>
      <c r="Q2" s="116">
        <f>J2/P2</f>
        <v>0.12580284836637812</v>
      </c>
    </row>
    <row r="3" spans="1:20" x14ac:dyDescent="0.3">
      <c r="A3" s="51">
        <v>2</v>
      </c>
      <c r="B3" s="60" t="s">
        <v>48</v>
      </c>
      <c r="C3" s="7" t="s">
        <v>128</v>
      </c>
      <c r="D3" s="115">
        <v>8698547390</v>
      </c>
      <c r="E3" s="60">
        <v>19</v>
      </c>
      <c r="F3" s="60" t="s">
        <v>49</v>
      </c>
      <c r="G3" s="87">
        <f>(9560*2)</f>
        <v>19120</v>
      </c>
      <c r="H3" s="87">
        <f>(250*15)</f>
        <v>3750</v>
      </c>
      <c r="I3" s="87">
        <v>0</v>
      </c>
      <c r="J3" s="87">
        <f t="shared" ref="J3:J14" si="3">G3+H3-I3</f>
        <v>22870</v>
      </c>
      <c r="K3" s="87">
        <f t="shared" si="0"/>
        <v>4116.5999999999995</v>
      </c>
      <c r="L3" s="87">
        <f>J3+K3</f>
        <v>26986.6</v>
      </c>
      <c r="M3" s="90">
        <f t="shared" si="2"/>
        <v>26986.6</v>
      </c>
      <c r="N3" s="54">
        <v>0</v>
      </c>
      <c r="O3" s="63" t="s">
        <v>30</v>
      </c>
      <c r="P3" s="121">
        <v>82300</v>
      </c>
      <c r="Q3" s="116">
        <f>J3/P3</f>
        <v>0.27788578371810452</v>
      </c>
    </row>
    <row r="4" spans="1:20" x14ac:dyDescent="0.3">
      <c r="A4" s="65">
        <v>3</v>
      </c>
      <c r="B4" s="60" t="s">
        <v>50</v>
      </c>
      <c r="C4" s="7"/>
      <c r="D4" s="115">
        <v>9820882211</v>
      </c>
      <c r="E4" s="60">
        <v>20</v>
      </c>
      <c r="F4" s="60" t="s">
        <v>51</v>
      </c>
      <c r="G4" s="87">
        <v>3470</v>
      </c>
      <c r="H4" s="87">
        <v>0</v>
      </c>
      <c r="I4" s="87">
        <v>374</v>
      </c>
      <c r="J4" s="87">
        <f t="shared" si="3"/>
        <v>3096</v>
      </c>
      <c r="K4" s="87">
        <f t="shared" si="0"/>
        <v>557.28</v>
      </c>
      <c r="L4" s="87">
        <f t="shared" si="1"/>
        <v>3653.2799999999997</v>
      </c>
      <c r="M4" s="90">
        <f t="shared" si="2"/>
        <v>3653.2799999999997</v>
      </c>
      <c r="N4" s="129">
        <f t="shared" ref="N4:N12" si="4">L4-M4</f>
        <v>0</v>
      </c>
      <c r="O4" s="63" t="s">
        <v>30</v>
      </c>
      <c r="P4" s="121">
        <v>24101</v>
      </c>
      <c r="Q4" s="116">
        <f>J4/P4</f>
        <v>0.12845940002489523</v>
      </c>
    </row>
    <row r="5" spans="1:20" x14ac:dyDescent="0.3">
      <c r="A5" s="51">
        <v>4</v>
      </c>
      <c r="B5" s="60" t="s">
        <v>31</v>
      </c>
      <c r="C5" s="7"/>
      <c r="D5" s="115">
        <v>9820167690</v>
      </c>
      <c r="E5" s="60">
        <v>21</v>
      </c>
      <c r="F5" s="60" t="s">
        <v>52</v>
      </c>
      <c r="G5" s="61">
        <v>0</v>
      </c>
      <c r="H5" s="61">
        <v>1500</v>
      </c>
      <c r="I5" s="61">
        <v>375</v>
      </c>
      <c r="J5" s="87">
        <f t="shared" si="3"/>
        <v>1125</v>
      </c>
      <c r="K5" s="61">
        <f t="shared" si="0"/>
        <v>202.5</v>
      </c>
      <c r="L5" s="61">
        <f t="shared" si="1"/>
        <v>1327.5</v>
      </c>
      <c r="M5" s="90">
        <f t="shared" si="2"/>
        <v>1327.5</v>
      </c>
      <c r="N5" s="54">
        <v>0</v>
      </c>
      <c r="O5" s="63" t="s">
        <v>30</v>
      </c>
      <c r="P5" s="64">
        <v>1500</v>
      </c>
      <c r="Q5" s="116">
        <f>J5/P5</f>
        <v>0.75</v>
      </c>
    </row>
    <row r="6" spans="1:20" x14ac:dyDescent="0.3">
      <c r="A6" s="65">
        <v>5</v>
      </c>
      <c r="B6" s="60" t="s">
        <v>48</v>
      </c>
      <c r="C6" s="7" t="s">
        <v>128</v>
      </c>
      <c r="D6" s="115">
        <v>8698547390</v>
      </c>
      <c r="E6" s="60">
        <v>22</v>
      </c>
      <c r="F6" s="60" t="s">
        <v>53</v>
      </c>
      <c r="G6" s="61">
        <v>3808</v>
      </c>
      <c r="H6" s="61">
        <v>4100</v>
      </c>
      <c r="I6" s="61">
        <v>1142</v>
      </c>
      <c r="J6" s="87">
        <f t="shared" si="3"/>
        <v>6766</v>
      </c>
      <c r="K6" s="61">
        <f t="shared" si="0"/>
        <v>1217.8799999999999</v>
      </c>
      <c r="L6" s="61">
        <f t="shared" si="1"/>
        <v>7983.88</v>
      </c>
      <c r="M6" s="90">
        <f t="shared" si="2"/>
        <v>7983.88</v>
      </c>
      <c r="N6" s="54">
        <v>0</v>
      </c>
      <c r="O6" s="63" t="s">
        <v>30</v>
      </c>
      <c r="P6" s="64">
        <f>H6</f>
        <v>4100</v>
      </c>
      <c r="Q6" s="116">
        <f>I6/P6</f>
        <v>0.27853658536585368</v>
      </c>
    </row>
    <row r="7" spans="1:20" x14ac:dyDescent="0.3">
      <c r="A7" s="65">
        <v>6</v>
      </c>
      <c r="B7" s="60" t="s">
        <v>50</v>
      </c>
      <c r="C7" s="7"/>
      <c r="D7" s="115">
        <v>9820882211</v>
      </c>
      <c r="E7" s="60">
        <v>23</v>
      </c>
      <c r="F7" s="60" t="s">
        <v>55</v>
      </c>
      <c r="G7" s="61">
        <v>42244</v>
      </c>
      <c r="H7" s="61">
        <v>0</v>
      </c>
      <c r="I7" s="61">
        <v>3000</v>
      </c>
      <c r="J7" s="87">
        <f t="shared" si="3"/>
        <v>39244</v>
      </c>
      <c r="K7" s="61">
        <f t="shared" si="0"/>
        <v>7063.92</v>
      </c>
      <c r="L7" s="61">
        <f t="shared" si="1"/>
        <v>46307.92</v>
      </c>
      <c r="M7" s="90">
        <f t="shared" si="2"/>
        <v>46307.92</v>
      </c>
      <c r="N7" s="129">
        <f t="shared" si="4"/>
        <v>0</v>
      </c>
      <c r="O7" s="63" t="s">
        <v>30</v>
      </c>
      <c r="P7" s="64">
        <v>282950</v>
      </c>
      <c r="Q7" s="116">
        <f t="shared" ref="Q7:Q12" si="5">J7/P7</f>
        <v>0.13869588266478175</v>
      </c>
    </row>
    <row r="8" spans="1:20" x14ac:dyDescent="0.3">
      <c r="A8" s="65">
        <v>7</v>
      </c>
      <c r="B8" s="60" t="s">
        <v>44</v>
      </c>
      <c r="C8" s="7" t="s">
        <v>130</v>
      </c>
      <c r="D8" s="115">
        <v>9552525257</v>
      </c>
      <c r="E8" s="60">
        <v>24</v>
      </c>
      <c r="F8" s="60" t="s">
        <v>56</v>
      </c>
      <c r="G8" s="61">
        <v>600</v>
      </c>
      <c r="H8" s="61">
        <v>0</v>
      </c>
      <c r="I8" s="61">
        <v>0</v>
      </c>
      <c r="J8" s="87">
        <f t="shared" si="3"/>
        <v>600</v>
      </c>
      <c r="K8" s="61">
        <f t="shared" ref="K8:K14" si="6">J8*18%</f>
        <v>108</v>
      </c>
      <c r="L8" s="61">
        <f t="shared" si="1"/>
        <v>708</v>
      </c>
      <c r="M8" s="90">
        <v>708</v>
      </c>
      <c r="N8" s="54">
        <f t="shared" si="4"/>
        <v>0</v>
      </c>
      <c r="O8" s="63" t="s">
        <v>30</v>
      </c>
      <c r="P8" s="64">
        <f>(235*30)</f>
        <v>7050</v>
      </c>
      <c r="Q8" s="116">
        <f t="shared" si="5"/>
        <v>8.5106382978723402E-2</v>
      </c>
    </row>
    <row r="9" spans="1:20" x14ac:dyDescent="0.3">
      <c r="A9" s="65">
        <v>8</v>
      </c>
      <c r="B9" s="60" t="s">
        <v>88</v>
      </c>
      <c r="C9" s="7" t="s">
        <v>131</v>
      </c>
      <c r="D9" s="115">
        <v>9820442210</v>
      </c>
      <c r="E9" s="60">
        <v>25</v>
      </c>
      <c r="F9" s="60" t="s">
        <v>72</v>
      </c>
      <c r="G9" s="61">
        <v>23670</v>
      </c>
      <c r="H9" s="61">
        <v>350</v>
      </c>
      <c r="I9" s="61">
        <v>3551</v>
      </c>
      <c r="J9" s="87">
        <f>G9+H9-I9</f>
        <v>20469</v>
      </c>
      <c r="K9" s="61">
        <f t="shared" si="6"/>
        <v>3684.42</v>
      </c>
      <c r="L9" s="61">
        <f t="shared" si="1"/>
        <v>24153.42</v>
      </c>
      <c r="M9" s="90">
        <f>15000+9153</f>
        <v>24153</v>
      </c>
      <c r="N9" s="54">
        <v>0</v>
      </c>
      <c r="O9" s="63" t="s">
        <v>30</v>
      </c>
      <c r="P9" s="64">
        <v>95350</v>
      </c>
      <c r="Q9" s="116">
        <f t="shared" si="5"/>
        <v>0.21467226009438908</v>
      </c>
      <c r="T9" s="86"/>
    </row>
    <row r="10" spans="1:20" x14ac:dyDescent="0.3">
      <c r="A10" s="65">
        <v>9</v>
      </c>
      <c r="B10" s="60" t="s">
        <v>83</v>
      </c>
      <c r="C10" s="7" t="s">
        <v>127</v>
      </c>
      <c r="D10" s="60">
        <v>9930586351</v>
      </c>
      <c r="E10" s="60">
        <v>26</v>
      </c>
      <c r="F10" s="60" t="s">
        <v>84</v>
      </c>
      <c r="G10" s="61">
        <v>5250</v>
      </c>
      <c r="H10" s="61"/>
      <c r="I10" s="61">
        <v>368</v>
      </c>
      <c r="J10" s="87">
        <f t="shared" si="3"/>
        <v>4882</v>
      </c>
      <c r="K10" s="61">
        <f t="shared" si="6"/>
        <v>878.76</v>
      </c>
      <c r="L10" s="61">
        <f t="shared" si="1"/>
        <v>5760.76</v>
      </c>
      <c r="M10" s="90">
        <v>5761</v>
      </c>
      <c r="N10" s="54">
        <v>0</v>
      </c>
      <c r="O10" s="63" t="s">
        <v>30</v>
      </c>
      <c r="P10" s="64">
        <v>42500</v>
      </c>
      <c r="Q10" s="116">
        <f t="shared" si="5"/>
        <v>0.11487058823529411</v>
      </c>
    </row>
    <row r="11" spans="1:20" x14ac:dyDescent="0.3">
      <c r="A11" s="65">
        <v>10</v>
      </c>
      <c r="B11" s="60" t="s">
        <v>85</v>
      </c>
      <c r="C11" s="7" t="s">
        <v>129</v>
      </c>
      <c r="D11" s="60">
        <v>9820198472</v>
      </c>
      <c r="E11" s="60">
        <v>27</v>
      </c>
      <c r="F11" s="60" t="s">
        <v>84</v>
      </c>
      <c r="G11" s="61">
        <v>10065</v>
      </c>
      <c r="H11" s="61">
        <v>0</v>
      </c>
      <c r="I11" s="61">
        <f>G11*5%</f>
        <v>503.25</v>
      </c>
      <c r="J11" s="87">
        <f t="shared" si="3"/>
        <v>9561.75</v>
      </c>
      <c r="K11" s="61">
        <f t="shared" si="6"/>
        <v>1721.115</v>
      </c>
      <c r="L11" s="61">
        <f t="shared" si="1"/>
        <v>11282.865</v>
      </c>
      <c r="M11" s="90">
        <f>L11</f>
        <v>11282.865</v>
      </c>
      <c r="N11" s="129">
        <f t="shared" si="4"/>
        <v>0</v>
      </c>
      <c r="O11" s="63" t="s">
        <v>30</v>
      </c>
      <c r="P11" s="64">
        <v>80000</v>
      </c>
      <c r="Q11" s="66">
        <f t="shared" si="5"/>
        <v>0.119521875</v>
      </c>
    </row>
    <row r="12" spans="1:20" x14ac:dyDescent="0.3">
      <c r="A12" s="51">
        <v>11</v>
      </c>
      <c r="B12" s="60" t="s">
        <v>89</v>
      </c>
      <c r="C12" s="7" t="s">
        <v>132</v>
      </c>
      <c r="D12" s="60">
        <v>9821163571</v>
      </c>
      <c r="E12" s="60">
        <v>28</v>
      </c>
      <c r="F12" s="60" t="s">
        <v>90</v>
      </c>
      <c r="G12" s="61">
        <v>1500</v>
      </c>
      <c r="H12" s="61"/>
      <c r="I12" s="61">
        <v>0</v>
      </c>
      <c r="J12" s="87">
        <f t="shared" si="3"/>
        <v>1500</v>
      </c>
      <c r="K12" s="61">
        <f t="shared" si="6"/>
        <v>270</v>
      </c>
      <c r="L12" s="61">
        <f t="shared" si="1"/>
        <v>1770</v>
      </c>
      <c r="M12" s="90">
        <v>1770</v>
      </c>
      <c r="N12" s="54">
        <f t="shared" si="4"/>
        <v>0</v>
      </c>
      <c r="O12" s="63" t="s">
        <v>30</v>
      </c>
      <c r="P12" s="64">
        <f>500*25</f>
        <v>12500</v>
      </c>
      <c r="Q12" s="66">
        <f t="shared" si="5"/>
        <v>0.12</v>
      </c>
    </row>
    <row r="13" spans="1:20" x14ac:dyDescent="0.3">
      <c r="A13" s="51">
        <v>12</v>
      </c>
      <c r="B13" s="52" t="s">
        <v>83</v>
      </c>
      <c r="C13" s="7" t="s">
        <v>127</v>
      </c>
      <c r="D13" s="52"/>
      <c r="E13" s="52">
        <v>29</v>
      </c>
      <c r="F13" s="52" t="s">
        <v>91</v>
      </c>
      <c r="G13" s="67">
        <v>2600</v>
      </c>
      <c r="H13" s="67"/>
      <c r="I13" s="67">
        <v>150</v>
      </c>
      <c r="J13" s="53">
        <f t="shared" si="3"/>
        <v>2450</v>
      </c>
      <c r="K13" s="67">
        <f t="shared" si="6"/>
        <v>441</v>
      </c>
      <c r="L13" s="67">
        <f t="shared" si="1"/>
        <v>2891</v>
      </c>
      <c r="M13" s="90">
        <v>2891</v>
      </c>
      <c r="N13" s="88">
        <f>L13-M13</f>
        <v>0</v>
      </c>
      <c r="O13" s="55" t="s">
        <v>30</v>
      </c>
      <c r="P13" s="69">
        <f>(250*40)+(235*40)</f>
        <v>19400</v>
      </c>
      <c r="Q13" s="70">
        <f>J13/P13</f>
        <v>0.12628865979381443</v>
      </c>
    </row>
    <row r="14" spans="1:20" x14ac:dyDescent="0.3">
      <c r="A14" s="51">
        <v>13</v>
      </c>
      <c r="B14" s="52" t="s">
        <v>92</v>
      </c>
      <c r="C14" s="7" t="s">
        <v>133</v>
      </c>
      <c r="D14" s="52"/>
      <c r="E14" s="52">
        <v>30</v>
      </c>
      <c r="F14" s="52" t="s">
        <v>91</v>
      </c>
      <c r="G14" s="67">
        <v>8200</v>
      </c>
      <c r="H14" s="67"/>
      <c r="I14" s="67">
        <v>500</v>
      </c>
      <c r="J14" s="53">
        <f t="shared" si="3"/>
        <v>7700</v>
      </c>
      <c r="K14" s="67">
        <f t="shared" si="6"/>
        <v>1386</v>
      </c>
      <c r="L14" s="67">
        <f t="shared" si="1"/>
        <v>9086</v>
      </c>
      <c r="M14" s="90">
        <f>L14</f>
        <v>9086</v>
      </c>
      <c r="N14" s="88">
        <f>L14-M14</f>
        <v>0</v>
      </c>
      <c r="O14" s="55" t="s">
        <v>30</v>
      </c>
      <c r="P14" s="69">
        <v>64170</v>
      </c>
      <c r="Q14" s="70">
        <f>J14/P14</f>
        <v>0.11999376655758143</v>
      </c>
    </row>
    <row r="15" spans="1:20" x14ac:dyDescent="0.3">
      <c r="A15" s="51">
        <v>14</v>
      </c>
      <c r="B15" s="52" t="s">
        <v>31</v>
      </c>
      <c r="C15" s="7"/>
      <c r="D15" s="52"/>
      <c r="E15" s="52">
        <v>31</v>
      </c>
      <c r="F15" s="52" t="s">
        <v>91</v>
      </c>
      <c r="G15" s="53">
        <v>0</v>
      </c>
      <c r="H15" s="53">
        <v>864</v>
      </c>
      <c r="I15" s="53">
        <v>0</v>
      </c>
      <c r="J15" s="53">
        <f>H15-I15</f>
        <v>864</v>
      </c>
      <c r="K15" s="53">
        <f>J15*18%</f>
        <v>155.51999999999998</v>
      </c>
      <c r="L15" s="53">
        <f>SUM(J15:K15)</f>
        <v>1019.52</v>
      </c>
      <c r="M15" s="90">
        <f>L15</f>
        <v>1019.52</v>
      </c>
      <c r="N15" s="54"/>
      <c r="O15" s="55" t="s">
        <v>93</v>
      </c>
      <c r="P15" s="56">
        <v>1000</v>
      </c>
      <c r="Q15" s="57">
        <f>J15/P15</f>
        <v>0.86399999999999999</v>
      </c>
    </row>
    <row r="16" spans="1:20" x14ac:dyDescent="0.3">
      <c r="A16" s="51"/>
      <c r="B16" s="52"/>
      <c r="C16" s="52"/>
      <c r="D16" s="52"/>
      <c r="E16" s="52"/>
      <c r="F16" s="52"/>
      <c r="G16" s="53"/>
      <c r="H16" s="53"/>
      <c r="I16" s="53"/>
      <c r="J16" s="53"/>
      <c r="K16" s="53"/>
      <c r="L16" s="53"/>
      <c r="M16" s="90"/>
      <c r="N16" s="54"/>
      <c r="O16" s="55"/>
      <c r="P16" s="56"/>
      <c r="Q16" s="57"/>
    </row>
    <row r="17" spans="1:17" x14ac:dyDescent="0.3">
      <c r="A17" s="51"/>
      <c r="B17" s="52"/>
      <c r="C17" s="52"/>
      <c r="D17" s="52"/>
      <c r="E17" s="52"/>
      <c r="F17" s="52"/>
      <c r="G17" s="53"/>
      <c r="H17" s="53"/>
      <c r="I17" s="53"/>
      <c r="J17" s="53"/>
      <c r="K17" s="53"/>
      <c r="L17" s="53"/>
      <c r="M17" s="90"/>
      <c r="N17" s="54"/>
      <c r="O17" s="55"/>
      <c r="P17" s="56"/>
      <c r="Q17" s="57"/>
    </row>
    <row r="18" spans="1:17" x14ac:dyDescent="0.3">
      <c r="A18" s="51"/>
      <c r="B18" s="52"/>
      <c r="C18" s="52"/>
      <c r="D18" s="52"/>
      <c r="E18" s="52"/>
      <c r="F18" s="52"/>
      <c r="G18" s="53"/>
      <c r="H18" s="53"/>
      <c r="I18" s="53"/>
      <c r="J18" s="53"/>
      <c r="K18" s="53"/>
      <c r="L18" s="53"/>
      <c r="M18" s="90"/>
      <c r="N18" s="54"/>
      <c r="O18" s="55"/>
      <c r="P18" s="56"/>
      <c r="Q18" s="57"/>
    </row>
    <row r="19" spans="1:17" x14ac:dyDescent="0.3">
      <c r="A19" s="51"/>
      <c r="B19" s="52"/>
      <c r="C19" s="52"/>
      <c r="D19" s="52"/>
      <c r="E19" s="52"/>
      <c r="F19" s="52"/>
      <c r="G19" s="53"/>
      <c r="H19" s="53"/>
      <c r="I19" s="53"/>
      <c r="J19" s="53"/>
      <c r="K19" s="53"/>
      <c r="L19" s="53"/>
      <c r="M19" s="90"/>
      <c r="N19" s="54"/>
      <c r="O19" s="55"/>
      <c r="P19" s="56"/>
      <c r="Q19" s="57"/>
    </row>
    <row r="20" spans="1:17" x14ac:dyDescent="0.3">
      <c r="A20" s="51"/>
      <c r="B20" s="52"/>
      <c r="C20" s="52"/>
      <c r="D20" s="52"/>
      <c r="E20" s="52"/>
      <c r="F20" s="52"/>
      <c r="G20" s="53"/>
      <c r="H20" s="53"/>
      <c r="I20" s="53"/>
      <c r="J20" s="53"/>
      <c r="K20" s="53"/>
      <c r="L20" s="53"/>
      <c r="M20" s="90"/>
      <c r="N20" s="54"/>
      <c r="O20" s="55"/>
      <c r="P20" s="56"/>
      <c r="Q20" s="57"/>
    </row>
    <row r="21" spans="1:17" x14ac:dyDescent="0.3">
      <c r="A21" s="51"/>
      <c r="B21" s="52"/>
      <c r="C21" s="52"/>
      <c r="D21" s="52"/>
      <c r="E21" s="52"/>
      <c r="F21" s="52"/>
      <c r="G21" s="53"/>
      <c r="H21" s="53"/>
      <c r="I21" s="53"/>
      <c r="J21" s="53"/>
      <c r="K21" s="53"/>
      <c r="L21" s="53"/>
      <c r="M21" s="90"/>
      <c r="N21" s="54"/>
      <c r="O21" s="55"/>
      <c r="P21" s="56"/>
      <c r="Q21" s="57"/>
    </row>
    <row r="22" spans="1:17" x14ac:dyDescent="0.3">
      <c r="A22" s="51"/>
      <c r="B22" s="52"/>
      <c r="C22" s="52"/>
      <c r="D22" s="52"/>
      <c r="E22" s="52"/>
      <c r="F22" s="52"/>
      <c r="G22" s="53"/>
      <c r="H22" s="53"/>
      <c r="I22" s="53"/>
      <c r="J22" s="53"/>
      <c r="K22" s="53"/>
      <c r="L22" s="53"/>
      <c r="M22" s="89"/>
      <c r="N22" s="54"/>
      <c r="O22" s="55"/>
      <c r="P22" s="56"/>
      <c r="Q22" s="57"/>
    </row>
    <row r="23" spans="1:17" x14ac:dyDescent="0.3">
      <c r="A23" s="51"/>
      <c r="B23" s="52"/>
      <c r="C23" s="52"/>
      <c r="D23" s="52"/>
      <c r="E23" s="52"/>
      <c r="F23" s="52"/>
      <c r="G23" s="53"/>
      <c r="H23" s="53"/>
      <c r="I23" s="53"/>
      <c r="J23" s="53"/>
      <c r="K23" s="53"/>
      <c r="L23" s="53"/>
      <c r="M23" s="89"/>
      <c r="N23" s="54"/>
      <c r="O23" s="55"/>
      <c r="P23" s="56"/>
      <c r="Q23" s="57"/>
    </row>
    <row r="24" spans="1:17" x14ac:dyDescent="0.3">
      <c r="A24" s="51"/>
      <c r="B24" s="52"/>
      <c r="C24" s="52"/>
      <c r="D24" s="52"/>
      <c r="E24" s="52"/>
      <c r="F24" s="52"/>
      <c r="G24" s="53"/>
      <c r="H24" s="53"/>
      <c r="I24" s="53"/>
      <c r="J24" s="53"/>
      <c r="K24" s="53"/>
      <c r="L24" s="53"/>
      <c r="M24" s="89"/>
      <c r="N24" s="54"/>
      <c r="O24" s="55"/>
      <c r="P24" s="56"/>
      <c r="Q24" s="57"/>
    </row>
    <row r="25" spans="1:17" x14ac:dyDescent="0.3">
      <c r="A25" s="51"/>
      <c r="B25" s="52"/>
      <c r="C25" s="52"/>
      <c r="D25" s="52"/>
      <c r="E25" s="52"/>
      <c r="F25" s="52"/>
      <c r="G25" s="53"/>
      <c r="H25" s="53"/>
      <c r="I25" s="53"/>
      <c r="J25" s="53"/>
      <c r="K25" s="53"/>
      <c r="L25" s="53"/>
      <c r="M25" s="89"/>
      <c r="N25" s="54"/>
      <c r="O25" s="55"/>
      <c r="P25" s="56"/>
      <c r="Q25" s="57"/>
    </row>
    <row r="26" spans="1:17" x14ac:dyDescent="0.3">
      <c r="A26" s="51"/>
      <c r="B26" s="52"/>
      <c r="C26" s="52"/>
      <c r="D26" s="52"/>
      <c r="E26" s="52"/>
      <c r="F26" s="52"/>
      <c r="G26" s="53"/>
      <c r="H26" s="53"/>
      <c r="I26" s="53"/>
      <c r="J26" s="53"/>
      <c r="K26" s="53"/>
      <c r="L26" s="53"/>
      <c r="M26" s="89"/>
      <c r="N26" s="54"/>
      <c r="O26" s="55"/>
      <c r="P26" s="56"/>
      <c r="Q26" s="57"/>
    </row>
    <row r="27" spans="1:17" x14ac:dyDescent="0.3">
      <c r="A27" s="51"/>
      <c r="B27" s="52"/>
      <c r="C27" s="52"/>
      <c r="D27" s="52"/>
      <c r="E27" s="52"/>
      <c r="F27" s="52"/>
      <c r="G27" s="53"/>
      <c r="H27" s="53"/>
      <c r="I27" s="53"/>
      <c r="J27" s="53"/>
      <c r="K27" s="53"/>
      <c r="L27" s="53"/>
      <c r="M27" s="89"/>
      <c r="N27" s="54"/>
      <c r="O27" s="55"/>
      <c r="P27" s="56"/>
      <c r="Q27" s="57"/>
    </row>
    <row r="28" spans="1:17" x14ac:dyDescent="0.3">
      <c r="A28" s="51"/>
      <c r="B28" s="52"/>
      <c r="C28" s="52"/>
      <c r="D28" s="52"/>
      <c r="E28" s="52"/>
      <c r="F28" s="52"/>
      <c r="G28" s="53"/>
      <c r="H28" s="53"/>
      <c r="I28" s="53"/>
      <c r="J28" s="53"/>
      <c r="K28" s="53"/>
      <c r="L28" s="53"/>
      <c r="M28" s="89"/>
      <c r="N28" s="54"/>
      <c r="O28" s="55"/>
      <c r="P28" s="56"/>
      <c r="Q28" s="57"/>
    </row>
    <row r="29" spans="1:17" x14ac:dyDescent="0.3">
      <c r="A29" s="51"/>
      <c r="B29" s="52"/>
      <c r="C29" s="52"/>
      <c r="D29" s="52"/>
      <c r="E29" s="52"/>
      <c r="F29" s="52"/>
      <c r="G29" s="53"/>
      <c r="H29" s="53"/>
      <c r="I29" s="53"/>
      <c r="J29" s="53"/>
      <c r="K29" s="53"/>
      <c r="L29" s="53"/>
      <c r="M29" s="89"/>
      <c r="N29" s="54"/>
      <c r="O29" s="55"/>
      <c r="P29" s="56"/>
      <c r="Q29" s="57"/>
    </row>
    <row r="30" spans="1:17" x14ac:dyDescent="0.3">
      <c r="A30" s="51"/>
      <c r="B30" s="52"/>
      <c r="C30" s="52"/>
      <c r="D30" s="52"/>
      <c r="E30" s="52"/>
      <c r="F30" s="52"/>
      <c r="G30" s="53"/>
      <c r="H30" s="53"/>
      <c r="I30" s="53"/>
      <c r="J30" s="53"/>
      <c r="K30" s="53"/>
      <c r="L30" s="53"/>
      <c r="M30" s="89"/>
      <c r="N30" s="54"/>
      <c r="O30" s="55"/>
      <c r="P30" s="56"/>
      <c r="Q30" s="57"/>
    </row>
    <row r="31" spans="1:17" ht="15" thickBot="1" x14ac:dyDescent="0.35">
      <c r="A31" s="127"/>
      <c r="B31" s="71"/>
      <c r="C31" s="71"/>
      <c r="D31" s="71"/>
      <c r="E31" s="71"/>
      <c r="F31" s="71"/>
      <c r="G31" s="72"/>
      <c r="H31" s="72"/>
      <c r="I31" s="72"/>
      <c r="J31" s="72"/>
      <c r="K31" s="72"/>
      <c r="L31" s="72"/>
      <c r="M31" s="91"/>
      <c r="N31" s="122"/>
      <c r="O31" s="74"/>
      <c r="P31" s="75"/>
      <c r="Q31" s="76"/>
    </row>
    <row r="32" spans="1:17" ht="15" thickBot="1" x14ac:dyDescent="0.35">
      <c r="A32" s="128"/>
      <c r="B32" s="78"/>
      <c r="C32" s="79"/>
      <c r="D32" s="80"/>
      <c r="E32" s="80"/>
      <c r="F32" s="80"/>
      <c r="G32" s="81">
        <f t="shared" ref="G32:N32" si="7">SUM(G2:G31)</f>
        <v>131137</v>
      </c>
      <c r="H32" s="81">
        <f t="shared" si="7"/>
        <v>10564</v>
      </c>
      <c r="I32" s="81">
        <f t="shared" si="7"/>
        <v>11563.25</v>
      </c>
      <c r="J32" s="81">
        <f>G32+H32-I32</f>
        <v>130137.75</v>
      </c>
      <c r="K32" s="81">
        <f t="shared" si="7"/>
        <v>23424.795000000002</v>
      </c>
      <c r="L32" s="81">
        <f t="shared" si="7"/>
        <v>153562.54499999995</v>
      </c>
      <c r="M32" s="92">
        <f t="shared" si="7"/>
        <v>153562.36499999996</v>
      </c>
      <c r="N32" s="123">
        <f t="shared" si="7"/>
        <v>0</v>
      </c>
      <c r="O32" s="83"/>
      <c r="P32" s="84">
        <f>SUM(P2:P31)</f>
        <v>788541</v>
      </c>
      <c r="Q32" s="85">
        <f>J32/P32</f>
        <v>0.16503612367651144</v>
      </c>
    </row>
    <row r="33" spans="8:14" ht="15" thickBot="1" x14ac:dyDescent="0.35">
      <c r="I33" s="124">
        <f>I32/G32</f>
        <v>8.8176868465802943E-2</v>
      </c>
    </row>
    <row r="36" spans="8:14" x14ac:dyDescent="0.3">
      <c r="H36" s="86"/>
      <c r="I36" s="86"/>
    </row>
    <row r="37" spans="8:14" x14ac:dyDescent="0.3">
      <c r="J37" s="45"/>
    </row>
    <row r="38" spans="8:14" x14ac:dyDescent="0.3">
      <c r="J38" s="45"/>
      <c r="K38" s="45"/>
    </row>
    <row r="41" spans="8:14" x14ac:dyDescent="0.3">
      <c r="N41" s="86"/>
    </row>
    <row r="42" spans="8:14" x14ac:dyDescent="0.3">
      <c r="N42" s="86"/>
    </row>
    <row r="46" spans="8:14" x14ac:dyDescent="0.3">
      <c r="N46" s="8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B1EF-581C-4CC1-8D2F-B35F0B17884F}">
  <dimension ref="A1:S46"/>
  <sheetViews>
    <sheetView topLeftCell="B1" zoomScale="90" zoomScaleNormal="90" workbookViewId="0">
      <selection activeCell="P2" sqref="P2"/>
    </sheetView>
  </sheetViews>
  <sheetFormatPr defaultRowHeight="14.4" x14ac:dyDescent="0.3"/>
  <cols>
    <col min="1" max="1" width="5.5546875" bestFit="1" customWidth="1"/>
    <col min="2" max="2" width="20.77734375" bestFit="1" customWidth="1"/>
    <col min="3" max="3" width="20.77734375" customWidth="1"/>
    <col min="4" max="4" width="13.44140625" bestFit="1" customWidth="1"/>
    <col min="5" max="5" width="9.77734375" bestFit="1" customWidth="1"/>
    <col min="6" max="6" width="18.109375" bestFit="1" customWidth="1"/>
    <col min="7" max="7" width="8.88671875" bestFit="1" customWidth="1"/>
    <col min="9" max="9" width="16.5546875" bestFit="1" customWidth="1"/>
    <col min="12" max="12" width="9.88671875" bestFit="1" customWidth="1"/>
    <col min="13" max="13" width="16" bestFit="1" customWidth="1"/>
    <col min="14" max="14" width="16.5546875" bestFit="1" customWidth="1"/>
    <col min="15" max="15" width="16.6640625" bestFit="1" customWidth="1"/>
    <col min="16" max="16" width="18.21875" bestFit="1" customWidth="1"/>
  </cols>
  <sheetData>
    <row r="1" spans="1:19" x14ac:dyDescent="0.3">
      <c r="A1" s="46" t="s">
        <v>21</v>
      </c>
      <c r="B1" s="117" t="s">
        <v>0</v>
      </c>
      <c r="C1" s="2" t="s">
        <v>119</v>
      </c>
      <c r="D1" s="117" t="s">
        <v>1</v>
      </c>
      <c r="E1" s="117" t="s">
        <v>19</v>
      </c>
      <c r="F1" s="117" t="s">
        <v>2</v>
      </c>
      <c r="G1" s="117" t="s">
        <v>87</v>
      </c>
      <c r="H1" s="117" t="s">
        <v>25</v>
      </c>
      <c r="I1" s="117" t="s">
        <v>54</v>
      </c>
      <c r="J1" s="117" t="s">
        <v>86</v>
      </c>
      <c r="K1" s="117" t="s">
        <v>3</v>
      </c>
      <c r="L1" s="117" t="s">
        <v>79</v>
      </c>
      <c r="M1" s="118" t="s">
        <v>61</v>
      </c>
      <c r="N1" s="118" t="s">
        <v>20</v>
      </c>
      <c r="O1" s="119" t="s">
        <v>4</v>
      </c>
      <c r="P1" s="120" t="s">
        <v>28</v>
      </c>
      <c r="Q1" s="119" t="s">
        <v>29</v>
      </c>
    </row>
    <row r="2" spans="1:19" x14ac:dyDescent="0.3">
      <c r="A2" s="51">
        <v>1</v>
      </c>
      <c r="B2" s="60" t="s">
        <v>40</v>
      </c>
      <c r="C2" s="7" t="s">
        <v>123</v>
      </c>
      <c r="D2" s="115">
        <v>9821561159</v>
      </c>
      <c r="E2" s="60">
        <v>32</v>
      </c>
      <c r="F2" s="60" t="s">
        <v>94</v>
      </c>
      <c r="G2" s="87">
        <v>40000</v>
      </c>
      <c r="H2" s="87">
        <v>5665</v>
      </c>
      <c r="I2" s="87">
        <v>8000</v>
      </c>
      <c r="J2" s="87">
        <f t="shared" ref="J2:J13" si="0">G2+H2-I2</f>
        <v>37665</v>
      </c>
      <c r="K2" s="87">
        <f>J2*18%</f>
        <v>6779.7</v>
      </c>
      <c r="L2" s="87">
        <f>J2+K2</f>
        <v>44444.7</v>
      </c>
      <c r="M2" s="90">
        <f>L2</f>
        <v>44444.7</v>
      </c>
      <c r="N2" s="54">
        <f>L2-M2</f>
        <v>0</v>
      </c>
      <c r="O2" s="63" t="s">
        <v>95</v>
      </c>
      <c r="P2" s="121">
        <v>313750</v>
      </c>
      <c r="Q2" s="116">
        <f t="shared" ref="Q2:Q7" si="1">J2/P2</f>
        <v>0.12004780876494024</v>
      </c>
    </row>
    <row r="3" spans="1:19" x14ac:dyDescent="0.3">
      <c r="A3" s="51">
        <v>2</v>
      </c>
      <c r="B3" s="60" t="s">
        <v>85</v>
      </c>
      <c r="C3" s="7" t="s">
        <v>129</v>
      </c>
      <c r="D3" s="115"/>
      <c r="E3" s="60">
        <v>34</v>
      </c>
      <c r="F3" s="60" t="s">
        <v>96</v>
      </c>
      <c r="G3" s="87">
        <v>5700</v>
      </c>
      <c r="H3" s="87">
        <f>5210+2000</f>
        <v>7210</v>
      </c>
      <c r="I3" s="87">
        <v>0</v>
      </c>
      <c r="J3" s="87">
        <f t="shared" si="0"/>
        <v>12910</v>
      </c>
      <c r="K3" s="87">
        <f>(J3*18%)-360</f>
        <v>1963.7999999999997</v>
      </c>
      <c r="L3" s="87">
        <f>J3+K3</f>
        <v>14873.8</v>
      </c>
      <c r="M3" s="90">
        <f>L3</f>
        <v>14873.8</v>
      </c>
      <c r="N3" s="54">
        <f>L3-M3</f>
        <v>0</v>
      </c>
      <c r="O3" s="63" t="s">
        <v>95</v>
      </c>
      <c r="P3" s="121">
        <f>(1200*2)+(15600)+(1800*4)+(1500+2500+2000)+(2500+3000+3000)+2000</f>
        <v>41700</v>
      </c>
      <c r="Q3" s="116">
        <f t="shared" si="1"/>
        <v>0.30959232613908871</v>
      </c>
    </row>
    <row r="4" spans="1:19" x14ac:dyDescent="0.3">
      <c r="A4" s="65">
        <v>3</v>
      </c>
      <c r="B4" s="60" t="s">
        <v>97</v>
      </c>
      <c r="C4" s="7" t="s">
        <v>121</v>
      </c>
      <c r="D4" s="115"/>
      <c r="E4" s="60">
        <v>33</v>
      </c>
      <c r="F4" s="60" t="s">
        <v>102</v>
      </c>
      <c r="G4" s="61">
        <v>15870</v>
      </c>
      <c r="H4" s="61">
        <v>0</v>
      </c>
      <c r="I4" s="61">
        <v>0</v>
      </c>
      <c r="J4" s="61">
        <f t="shared" si="0"/>
        <v>15870</v>
      </c>
      <c r="K4" s="61">
        <f t="shared" ref="K4:K9" si="2">J4*18%</f>
        <v>2856.6</v>
      </c>
      <c r="L4" s="61">
        <f t="shared" ref="L4:L13" si="3">J4+K4</f>
        <v>18726.599999999999</v>
      </c>
      <c r="M4" s="90">
        <f>L4</f>
        <v>18726.599999999999</v>
      </c>
      <c r="N4" s="88">
        <v>0</v>
      </c>
      <c r="O4" s="63" t="s">
        <v>95</v>
      </c>
      <c r="P4" s="64">
        <v>114800</v>
      </c>
      <c r="Q4" s="66">
        <f t="shared" si="1"/>
        <v>0.13824041811846691</v>
      </c>
    </row>
    <row r="5" spans="1:19" x14ac:dyDescent="0.3">
      <c r="A5" s="65">
        <v>3</v>
      </c>
      <c r="B5" s="60" t="s">
        <v>97</v>
      </c>
      <c r="C5" s="7" t="s">
        <v>121</v>
      </c>
      <c r="D5" s="115"/>
      <c r="E5" s="60">
        <v>33</v>
      </c>
      <c r="F5" s="60" t="s">
        <v>101</v>
      </c>
      <c r="G5" s="61">
        <v>59920</v>
      </c>
      <c r="H5" s="61">
        <f>3000+(100)+(100)+(200)+(200)+(1800)</f>
        <v>5400</v>
      </c>
      <c r="I5" s="131">
        <v>0</v>
      </c>
      <c r="J5" s="61">
        <f>G5+H5-I5</f>
        <v>65320</v>
      </c>
      <c r="K5" s="61">
        <f t="shared" si="2"/>
        <v>11757.6</v>
      </c>
      <c r="L5" s="61">
        <f t="shared" si="3"/>
        <v>77077.600000000006</v>
      </c>
      <c r="M5" s="90">
        <v>77078</v>
      </c>
      <c r="N5" s="88">
        <f>L5-M5</f>
        <v>-0.39999999999417923</v>
      </c>
      <c r="O5" s="63" t="s">
        <v>95</v>
      </c>
      <c r="P5" s="64">
        <v>158600</v>
      </c>
      <c r="Q5" s="66">
        <f>J5/P5</f>
        <v>0.41185372005044135</v>
      </c>
    </row>
    <row r="6" spans="1:19" x14ac:dyDescent="0.3">
      <c r="A6" s="51">
        <v>4</v>
      </c>
      <c r="B6" s="60" t="s">
        <v>98</v>
      </c>
      <c r="C6" s="7" t="s">
        <v>127</v>
      </c>
      <c r="D6" s="115"/>
      <c r="E6" s="60">
        <v>35</v>
      </c>
      <c r="F6" s="60" t="s">
        <v>99</v>
      </c>
      <c r="G6" s="61">
        <v>3250</v>
      </c>
      <c r="H6" s="61"/>
      <c r="I6" s="61">
        <v>325</v>
      </c>
      <c r="J6" s="87">
        <f t="shared" si="0"/>
        <v>2925</v>
      </c>
      <c r="K6" s="87">
        <f t="shared" si="2"/>
        <v>526.5</v>
      </c>
      <c r="L6" s="87">
        <f t="shared" si="3"/>
        <v>3451.5</v>
      </c>
      <c r="M6" s="90">
        <f t="shared" ref="M6:M13" si="4">L6</f>
        <v>3451.5</v>
      </c>
      <c r="N6" s="54">
        <v>0</v>
      </c>
      <c r="O6" s="63" t="s">
        <v>95</v>
      </c>
      <c r="P6" s="64">
        <f>(15000*5)+(1000*5)</f>
        <v>80000</v>
      </c>
      <c r="Q6" s="116">
        <f t="shared" si="1"/>
        <v>3.6562499999999998E-2</v>
      </c>
    </row>
    <row r="7" spans="1:19" x14ac:dyDescent="0.3">
      <c r="A7" s="65">
        <v>5</v>
      </c>
      <c r="B7" s="60" t="s">
        <v>103</v>
      </c>
      <c r="C7" s="7" t="s">
        <v>128</v>
      </c>
      <c r="D7" s="115"/>
      <c r="E7" s="60">
        <v>36</v>
      </c>
      <c r="F7" s="60" t="s">
        <v>99</v>
      </c>
      <c r="G7" s="61">
        <v>320</v>
      </c>
      <c r="H7" s="61"/>
      <c r="I7" s="61"/>
      <c r="J7" s="87">
        <f t="shared" si="0"/>
        <v>320</v>
      </c>
      <c r="K7" s="87">
        <f t="shared" si="2"/>
        <v>57.599999999999994</v>
      </c>
      <c r="L7" s="87">
        <f t="shared" si="3"/>
        <v>377.6</v>
      </c>
      <c r="M7" s="90">
        <f t="shared" si="4"/>
        <v>377.6</v>
      </c>
      <c r="N7" s="54">
        <v>0</v>
      </c>
      <c r="O7" s="63" t="s">
        <v>95</v>
      </c>
      <c r="P7" s="64">
        <v>3600</v>
      </c>
      <c r="Q7" s="116">
        <f t="shared" si="1"/>
        <v>8.8888888888888892E-2</v>
      </c>
    </row>
    <row r="8" spans="1:19" x14ac:dyDescent="0.3">
      <c r="A8" s="65">
        <v>6</v>
      </c>
      <c r="B8" s="60" t="s">
        <v>40</v>
      </c>
      <c r="C8" s="7" t="s">
        <v>123</v>
      </c>
      <c r="D8" s="115"/>
      <c r="E8" s="60">
        <v>37</v>
      </c>
      <c r="F8" s="60" t="s">
        <v>104</v>
      </c>
      <c r="G8" s="61">
        <v>18780</v>
      </c>
      <c r="H8" s="61">
        <v>1600</v>
      </c>
      <c r="I8" s="61">
        <v>3750</v>
      </c>
      <c r="J8" s="87">
        <f t="shared" si="0"/>
        <v>16630</v>
      </c>
      <c r="K8" s="87">
        <f t="shared" si="2"/>
        <v>2993.4</v>
      </c>
      <c r="L8" s="87">
        <f t="shared" si="3"/>
        <v>19623.400000000001</v>
      </c>
      <c r="M8" s="90">
        <f t="shared" si="4"/>
        <v>19623.400000000001</v>
      </c>
      <c r="N8" s="54">
        <v>0</v>
      </c>
      <c r="O8" s="63" t="s">
        <v>95</v>
      </c>
      <c r="P8" s="64">
        <v>163250</v>
      </c>
      <c r="Q8" s="116">
        <f t="shared" ref="Q8:Q13" si="5">J8/P8</f>
        <v>0.10186830015313936</v>
      </c>
    </row>
    <row r="9" spans="1:19" x14ac:dyDescent="0.3">
      <c r="A9" s="65">
        <v>7</v>
      </c>
      <c r="B9" s="60" t="s">
        <v>105</v>
      </c>
      <c r="C9" s="7" t="s">
        <v>126</v>
      </c>
      <c r="D9" s="115"/>
      <c r="E9" s="60">
        <v>38</v>
      </c>
      <c r="F9" s="60" t="s">
        <v>106</v>
      </c>
      <c r="G9" s="61">
        <v>1000</v>
      </c>
      <c r="H9" s="61"/>
      <c r="I9" s="61"/>
      <c r="J9" s="87">
        <f t="shared" si="0"/>
        <v>1000</v>
      </c>
      <c r="K9" s="87">
        <f t="shared" si="2"/>
        <v>180</v>
      </c>
      <c r="L9" s="87">
        <f t="shared" si="3"/>
        <v>1180</v>
      </c>
      <c r="M9" s="90">
        <f t="shared" si="4"/>
        <v>1180</v>
      </c>
      <c r="N9" s="54"/>
      <c r="O9" s="63" t="s">
        <v>95</v>
      </c>
      <c r="P9" s="64">
        <v>18800</v>
      </c>
      <c r="Q9" s="116">
        <f t="shared" si="5"/>
        <v>5.3191489361702128E-2</v>
      </c>
    </row>
    <row r="10" spans="1:19" x14ac:dyDescent="0.3">
      <c r="A10" s="65">
        <v>8</v>
      </c>
      <c r="B10" s="60" t="s">
        <v>12</v>
      </c>
      <c r="C10" s="7"/>
      <c r="D10" s="115"/>
      <c r="E10" s="60">
        <v>39</v>
      </c>
      <c r="F10" s="60" t="s">
        <v>107</v>
      </c>
      <c r="G10" s="61">
        <v>23525</v>
      </c>
      <c r="H10" s="61"/>
      <c r="I10" s="61">
        <v>2000</v>
      </c>
      <c r="J10" s="87">
        <f t="shared" si="0"/>
        <v>21525</v>
      </c>
      <c r="K10" s="61">
        <f>J10*18%</f>
        <v>3874.5</v>
      </c>
      <c r="L10" s="61">
        <f t="shared" si="3"/>
        <v>25399.5</v>
      </c>
      <c r="M10" s="90">
        <f t="shared" si="4"/>
        <v>25399.5</v>
      </c>
      <c r="N10" s="54">
        <v>0</v>
      </c>
      <c r="O10" s="63" t="s">
        <v>95</v>
      </c>
      <c r="P10" s="64">
        <v>146550</v>
      </c>
      <c r="Q10" s="116">
        <f t="shared" si="5"/>
        <v>0.14687819856704196</v>
      </c>
    </row>
    <row r="11" spans="1:19" x14ac:dyDescent="0.3">
      <c r="A11" s="65">
        <v>9</v>
      </c>
      <c r="B11" s="60" t="s">
        <v>40</v>
      </c>
      <c r="C11" s="7" t="s">
        <v>123</v>
      </c>
      <c r="D11" s="60"/>
      <c r="E11" s="60">
        <v>40</v>
      </c>
      <c r="F11" s="60" t="s">
        <v>104</v>
      </c>
      <c r="G11" s="61">
        <f>27860+720</f>
        <v>28580</v>
      </c>
      <c r="H11" s="61">
        <v>3570</v>
      </c>
      <c r="I11" s="61">
        <v>5000</v>
      </c>
      <c r="J11" s="87">
        <f>G11+H11-I11</f>
        <v>27150</v>
      </c>
      <c r="K11" s="61">
        <f>J11*18%</f>
        <v>4887</v>
      </c>
      <c r="L11" s="61">
        <f t="shared" si="3"/>
        <v>32037</v>
      </c>
      <c r="M11" s="90">
        <f t="shared" si="4"/>
        <v>32037</v>
      </c>
      <c r="N11" s="54">
        <v>0</v>
      </c>
      <c r="O11" s="63" t="s">
        <v>95</v>
      </c>
      <c r="P11" s="64">
        <v>200550</v>
      </c>
      <c r="Q11" s="116">
        <f t="shared" si="5"/>
        <v>0.13537771129394166</v>
      </c>
    </row>
    <row r="12" spans="1:19" x14ac:dyDescent="0.3">
      <c r="A12" s="65">
        <v>10</v>
      </c>
      <c r="B12" s="60" t="s">
        <v>108</v>
      </c>
      <c r="C12" s="7" t="s">
        <v>124</v>
      </c>
      <c r="D12" s="60"/>
      <c r="E12" s="60">
        <v>41</v>
      </c>
      <c r="F12" s="60" t="s">
        <v>109</v>
      </c>
      <c r="G12" s="61">
        <v>9670</v>
      </c>
      <c r="H12" s="61"/>
      <c r="I12" s="61">
        <v>500</v>
      </c>
      <c r="J12" s="87">
        <f t="shared" si="0"/>
        <v>9170</v>
      </c>
      <c r="K12" s="61">
        <f>J12*18%</f>
        <v>1650.6</v>
      </c>
      <c r="L12" s="61">
        <f t="shared" si="3"/>
        <v>10820.6</v>
      </c>
      <c r="M12" s="90">
        <f t="shared" si="4"/>
        <v>10820.6</v>
      </c>
      <c r="N12" s="54">
        <v>0</v>
      </c>
      <c r="O12" s="63" t="s">
        <v>95</v>
      </c>
      <c r="P12" s="64">
        <v>50450</v>
      </c>
      <c r="Q12" s="66">
        <f t="shared" si="5"/>
        <v>0.18176412289395441</v>
      </c>
    </row>
    <row r="13" spans="1:19" x14ac:dyDescent="0.3">
      <c r="A13" s="51">
        <v>11</v>
      </c>
      <c r="B13" s="60" t="s">
        <v>110</v>
      </c>
      <c r="C13" s="7" t="s">
        <v>125</v>
      </c>
      <c r="D13" s="60"/>
      <c r="E13" s="60">
        <v>42</v>
      </c>
      <c r="F13" s="60" t="s">
        <v>109</v>
      </c>
      <c r="G13" s="61">
        <v>2100</v>
      </c>
      <c r="H13" s="61"/>
      <c r="I13" s="61">
        <v>0</v>
      </c>
      <c r="J13" s="87">
        <f t="shared" si="0"/>
        <v>2100</v>
      </c>
      <c r="K13" s="61">
        <f>J13*18%</f>
        <v>378</v>
      </c>
      <c r="L13" s="61">
        <f t="shared" si="3"/>
        <v>2478</v>
      </c>
      <c r="M13" s="90">
        <f t="shared" si="4"/>
        <v>2478</v>
      </c>
      <c r="N13" s="54">
        <v>0</v>
      </c>
      <c r="O13" s="63" t="s">
        <v>95</v>
      </c>
      <c r="P13" s="64">
        <f>2500*6</f>
        <v>15000</v>
      </c>
      <c r="Q13" s="66">
        <f t="shared" si="5"/>
        <v>0.14000000000000001</v>
      </c>
    </row>
    <row r="14" spans="1:19" x14ac:dyDescent="0.3">
      <c r="A14" s="51"/>
      <c r="B14" s="52"/>
      <c r="C14" s="52"/>
      <c r="D14" s="52"/>
      <c r="E14" s="52"/>
      <c r="F14" s="52"/>
      <c r="G14" s="67"/>
      <c r="H14" s="67"/>
      <c r="I14" s="67"/>
      <c r="J14" s="53"/>
      <c r="K14" s="67"/>
      <c r="L14" s="67"/>
      <c r="M14" s="90"/>
      <c r="N14" s="88"/>
      <c r="O14" s="55"/>
      <c r="P14" s="69"/>
      <c r="Q14" s="70"/>
    </row>
    <row r="15" spans="1:19" x14ac:dyDescent="0.3">
      <c r="A15" s="51"/>
      <c r="B15" s="52"/>
      <c r="C15" s="52"/>
      <c r="D15" s="52"/>
      <c r="E15" s="52"/>
      <c r="F15" s="52"/>
      <c r="G15" s="67"/>
      <c r="H15" s="67"/>
      <c r="I15" s="67"/>
      <c r="J15" s="53"/>
      <c r="K15" s="67"/>
      <c r="L15" s="67"/>
      <c r="M15" s="90"/>
      <c r="N15" s="88"/>
      <c r="O15" s="55"/>
      <c r="P15" s="69"/>
      <c r="Q15" s="70"/>
      <c r="S15" s="86"/>
    </row>
    <row r="16" spans="1:19" x14ac:dyDescent="0.3">
      <c r="A16" s="51"/>
      <c r="B16" s="52"/>
      <c r="C16" s="52"/>
      <c r="D16" s="52"/>
      <c r="E16" s="52"/>
      <c r="F16" s="52"/>
      <c r="G16" s="53"/>
      <c r="H16" s="53"/>
      <c r="I16" s="53"/>
      <c r="J16" s="53"/>
      <c r="K16" s="53"/>
      <c r="L16" s="53"/>
      <c r="M16" s="90"/>
      <c r="N16" s="54"/>
      <c r="O16" s="55"/>
      <c r="P16" s="56"/>
      <c r="Q16" s="57"/>
    </row>
    <row r="17" spans="1:17" x14ac:dyDescent="0.3">
      <c r="A17" s="51"/>
      <c r="B17" s="52"/>
      <c r="C17" s="52"/>
      <c r="D17" s="52"/>
      <c r="E17" s="52"/>
      <c r="F17" s="52"/>
      <c r="G17" s="53"/>
      <c r="H17" s="53"/>
      <c r="I17" s="53"/>
      <c r="J17" s="53"/>
      <c r="K17" s="53"/>
      <c r="L17" s="53"/>
      <c r="M17" s="90"/>
      <c r="N17" s="54"/>
      <c r="O17" s="55"/>
      <c r="P17" s="56"/>
      <c r="Q17" s="57"/>
    </row>
    <row r="18" spans="1:17" x14ac:dyDescent="0.3">
      <c r="A18" s="51"/>
      <c r="B18" s="52"/>
      <c r="C18" s="52"/>
      <c r="D18" s="52"/>
      <c r="E18" s="52"/>
      <c r="F18" s="52"/>
      <c r="G18" s="53"/>
      <c r="H18" s="53"/>
      <c r="I18" s="53"/>
      <c r="J18" s="53"/>
      <c r="K18" s="53"/>
      <c r="L18" s="53"/>
      <c r="M18" s="90"/>
      <c r="N18" s="54"/>
      <c r="O18" s="55"/>
      <c r="P18" s="56"/>
      <c r="Q18" s="57"/>
    </row>
    <row r="19" spans="1:17" x14ac:dyDescent="0.3">
      <c r="A19" s="51"/>
      <c r="B19" s="52"/>
      <c r="C19" s="52"/>
      <c r="D19" s="52"/>
      <c r="E19" s="52"/>
      <c r="F19" s="52"/>
      <c r="G19" s="53"/>
      <c r="H19" s="53"/>
      <c r="I19" s="53"/>
      <c r="J19" s="53"/>
      <c r="K19" s="53"/>
      <c r="L19" s="53"/>
      <c r="M19" s="90"/>
      <c r="N19" s="54"/>
      <c r="O19" s="55"/>
      <c r="P19" s="56"/>
      <c r="Q19" s="57"/>
    </row>
    <row r="20" spans="1:17" x14ac:dyDescent="0.3">
      <c r="A20" s="51"/>
      <c r="B20" s="52"/>
      <c r="C20" s="52"/>
      <c r="D20" s="52"/>
      <c r="E20" s="52"/>
      <c r="F20" s="52"/>
      <c r="G20" s="53"/>
      <c r="H20" s="53"/>
      <c r="I20" s="53"/>
      <c r="J20" s="53"/>
      <c r="K20" s="53"/>
      <c r="L20" s="53"/>
      <c r="M20" s="90"/>
      <c r="N20" s="54"/>
      <c r="O20" s="55"/>
      <c r="P20" s="56"/>
      <c r="Q20" s="57"/>
    </row>
    <row r="21" spans="1:17" x14ac:dyDescent="0.3">
      <c r="A21" s="51"/>
      <c r="B21" s="52"/>
      <c r="C21" s="52"/>
      <c r="D21" s="52"/>
      <c r="E21" s="52"/>
      <c r="F21" s="52"/>
      <c r="G21" s="53"/>
      <c r="H21" s="53"/>
      <c r="I21" s="53"/>
      <c r="J21" s="53"/>
      <c r="K21" s="53"/>
      <c r="L21" s="53"/>
      <c r="M21" s="90"/>
      <c r="N21" s="54"/>
      <c r="O21" s="55"/>
      <c r="P21" s="56"/>
      <c r="Q21" s="57"/>
    </row>
    <row r="22" spans="1:17" x14ac:dyDescent="0.3">
      <c r="A22" s="51"/>
      <c r="B22" s="52"/>
      <c r="C22" s="52"/>
      <c r="D22" s="52"/>
      <c r="E22" s="52"/>
      <c r="F22" s="52"/>
      <c r="G22" s="53"/>
      <c r="H22" s="53"/>
      <c r="I22" s="53"/>
      <c r="J22" s="53"/>
      <c r="K22" s="53"/>
      <c r="L22" s="53"/>
      <c r="M22" s="90"/>
      <c r="N22" s="54"/>
      <c r="O22" s="55"/>
      <c r="P22" s="56"/>
      <c r="Q22" s="57"/>
    </row>
    <row r="23" spans="1:17" x14ac:dyDescent="0.3">
      <c r="A23" s="51"/>
      <c r="B23" s="52"/>
      <c r="C23" s="52"/>
      <c r="D23" s="52"/>
      <c r="E23" s="52"/>
      <c r="F23" s="52"/>
      <c r="G23" s="53"/>
      <c r="H23" s="53"/>
      <c r="I23" s="53"/>
      <c r="J23" s="53"/>
      <c r="K23" s="53"/>
      <c r="L23" s="53"/>
      <c r="M23" s="89"/>
      <c r="N23" s="54"/>
      <c r="O23" s="55"/>
      <c r="P23" s="56"/>
      <c r="Q23" s="57"/>
    </row>
    <row r="24" spans="1:17" x14ac:dyDescent="0.3">
      <c r="A24" s="51"/>
      <c r="B24" s="52"/>
      <c r="C24" s="52"/>
      <c r="D24" s="52"/>
      <c r="E24" s="52"/>
      <c r="F24" s="52"/>
      <c r="G24" s="53"/>
      <c r="H24" s="53"/>
      <c r="I24" s="53"/>
      <c r="J24" s="53"/>
      <c r="K24" s="53"/>
      <c r="L24" s="53"/>
      <c r="M24" s="89"/>
      <c r="N24" s="54"/>
      <c r="O24" s="55"/>
      <c r="P24" s="56"/>
      <c r="Q24" s="57"/>
    </row>
    <row r="25" spans="1:17" x14ac:dyDescent="0.3">
      <c r="A25" s="51"/>
      <c r="B25" s="52"/>
      <c r="C25" s="52"/>
      <c r="D25" s="52"/>
      <c r="E25" s="52"/>
      <c r="F25" s="52"/>
      <c r="G25" s="53"/>
      <c r="H25" s="53"/>
      <c r="I25" s="53"/>
      <c r="J25" s="53"/>
      <c r="K25" s="53"/>
      <c r="L25" s="53"/>
      <c r="M25" s="89"/>
      <c r="N25" s="54"/>
      <c r="O25" s="55"/>
      <c r="P25" s="56"/>
      <c r="Q25" s="57"/>
    </row>
    <row r="26" spans="1:17" x14ac:dyDescent="0.3">
      <c r="A26" s="51"/>
      <c r="B26" s="52"/>
      <c r="C26" s="52"/>
      <c r="D26" s="52"/>
      <c r="E26" s="52"/>
      <c r="F26" s="52"/>
      <c r="G26" s="53"/>
      <c r="H26" s="53"/>
      <c r="I26" s="53"/>
      <c r="J26" s="53"/>
      <c r="K26" s="53"/>
      <c r="L26" s="53"/>
      <c r="M26" s="89"/>
      <c r="N26" s="54"/>
      <c r="O26" s="55"/>
      <c r="P26" s="56"/>
      <c r="Q26" s="57"/>
    </row>
    <row r="27" spans="1:17" x14ac:dyDescent="0.3">
      <c r="A27" s="51"/>
      <c r="B27" s="52"/>
      <c r="C27" s="52"/>
      <c r="D27" s="52"/>
      <c r="E27" s="52"/>
      <c r="F27" s="52"/>
      <c r="G27" s="53"/>
      <c r="H27" s="53"/>
      <c r="I27" s="53"/>
      <c r="J27" s="53"/>
      <c r="K27" s="53"/>
      <c r="L27" s="53"/>
      <c r="M27" s="89"/>
      <c r="N27" s="54"/>
      <c r="O27" s="55"/>
      <c r="P27" s="56"/>
      <c r="Q27" s="57"/>
    </row>
    <row r="28" spans="1:17" x14ac:dyDescent="0.3">
      <c r="A28" s="51"/>
      <c r="B28" s="52"/>
      <c r="C28" s="52"/>
      <c r="D28" s="52"/>
      <c r="E28" s="52"/>
      <c r="F28" s="52"/>
      <c r="G28" s="53"/>
      <c r="H28" s="53"/>
      <c r="I28" s="53"/>
      <c r="J28" s="53"/>
      <c r="K28" s="53"/>
      <c r="L28" s="53"/>
      <c r="M28" s="89"/>
      <c r="N28" s="54"/>
      <c r="O28" s="55"/>
      <c r="P28" s="56"/>
      <c r="Q28" s="57"/>
    </row>
    <row r="29" spans="1:17" x14ac:dyDescent="0.3">
      <c r="A29" s="51"/>
      <c r="B29" s="52"/>
      <c r="C29" s="52"/>
      <c r="D29" s="52"/>
      <c r="E29" s="52"/>
      <c r="F29" s="52"/>
      <c r="G29" s="53"/>
      <c r="H29" s="53"/>
      <c r="I29" s="53"/>
      <c r="J29" s="53"/>
      <c r="K29" s="53"/>
      <c r="L29" s="53"/>
      <c r="M29" s="89"/>
      <c r="N29" s="54"/>
      <c r="O29" s="55"/>
      <c r="P29" s="56"/>
      <c r="Q29" s="57"/>
    </row>
    <row r="30" spans="1:17" x14ac:dyDescent="0.3">
      <c r="A30" s="51"/>
      <c r="B30" s="52"/>
      <c r="C30" s="52"/>
      <c r="D30" s="52"/>
      <c r="E30" s="52"/>
      <c r="F30" s="52"/>
      <c r="G30" s="53"/>
      <c r="H30" s="53"/>
      <c r="I30" s="53"/>
      <c r="J30" s="53"/>
      <c r="K30" s="53"/>
      <c r="L30" s="53"/>
      <c r="M30" s="89"/>
      <c r="N30" s="54"/>
      <c r="O30" s="55"/>
      <c r="P30" s="56"/>
      <c r="Q30" s="57"/>
    </row>
    <row r="31" spans="1:17" x14ac:dyDescent="0.3">
      <c r="A31" s="51"/>
      <c r="B31" s="52"/>
      <c r="C31" s="52"/>
      <c r="D31" s="52"/>
      <c r="E31" s="52"/>
      <c r="F31" s="52"/>
      <c r="G31" s="53"/>
      <c r="H31" s="53"/>
      <c r="I31" s="53"/>
      <c r="J31" s="53"/>
      <c r="K31" s="53"/>
      <c r="L31" s="53"/>
      <c r="M31" s="89"/>
      <c r="N31" s="54"/>
      <c r="O31" s="55"/>
      <c r="P31" s="56"/>
      <c r="Q31" s="57"/>
    </row>
    <row r="32" spans="1:17" ht="15" thickBot="1" x14ac:dyDescent="0.35">
      <c r="A32" s="127"/>
      <c r="B32" s="71"/>
      <c r="C32" s="71"/>
      <c r="D32" s="71"/>
      <c r="E32" s="71"/>
      <c r="F32" s="71"/>
      <c r="G32" s="72"/>
      <c r="H32" s="72"/>
      <c r="I32" s="72"/>
      <c r="J32" s="72"/>
      <c r="K32" s="72"/>
      <c r="L32" s="72"/>
      <c r="M32" s="91"/>
      <c r="N32" s="122"/>
      <c r="O32" s="74"/>
      <c r="P32" s="75"/>
      <c r="Q32" s="76"/>
    </row>
    <row r="33" spans="1:17" ht="15" thickBot="1" x14ac:dyDescent="0.35">
      <c r="A33" s="128"/>
      <c r="B33" s="78"/>
      <c r="C33" s="79"/>
      <c r="D33" s="80"/>
      <c r="E33" s="80"/>
      <c r="F33" s="80"/>
      <c r="G33" s="81">
        <f t="shared" ref="G33:L33" si="6">SUM(G2:G32)</f>
        <v>208715</v>
      </c>
      <c r="H33" s="81">
        <f t="shared" si="6"/>
        <v>23445</v>
      </c>
      <c r="I33" s="81">
        <f t="shared" si="6"/>
        <v>19575</v>
      </c>
      <c r="J33" s="81">
        <f t="shared" si="6"/>
        <v>212585</v>
      </c>
      <c r="K33" s="81">
        <f t="shared" si="6"/>
        <v>37905.299999999996</v>
      </c>
      <c r="L33" s="81">
        <f t="shared" si="6"/>
        <v>250490.30000000002</v>
      </c>
      <c r="M33" s="92">
        <f t="shared" ref="M33:N33" si="7">SUM(M2:M32)</f>
        <v>250490.7</v>
      </c>
      <c r="N33" s="123">
        <f t="shared" si="7"/>
        <v>-0.39999999999417923</v>
      </c>
      <c r="O33" s="83"/>
      <c r="P33" s="84">
        <f>SUM(P2:P32)</f>
        <v>1307050</v>
      </c>
      <c r="Q33" s="85">
        <f>J33/P33</f>
        <v>0.16264488734172372</v>
      </c>
    </row>
    <row r="34" spans="1:17" ht="15" thickBot="1" x14ac:dyDescent="0.35">
      <c r="I34" s="124">
        <f>I33/G33</f>
        <v>9.3788180054140816E-2</v>
      </c>
    </row>
    <row r="36" spans="1:17" x14ac:dyDescent="0.3">
      <c r="G36" s="86"/>
    </row>
    <row r="37" spans="1:17" x14ac:dyDescent="0.3">
      <c r="M37" s="86">
        <f>M11+M8+M10</f>
        <v>77059.899999999994</v>
      </c>
      <c r="N37" s="86"/>
    </row>
    <row r="46" spans="1:17" x14ac:dyDescent="0.3">
      <c r="L46" s="1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FCAF-70BC-4668-8C51-FBBAEFD63390}">
  <dimension ref="A1:Q51"/>
  <sheetViews>
    <sheetView zoomScale="90" zoomScaleNormal="90" workbookViewId="0">
      <selection activeCell="N9" sqref="N9"/>
    </sheetView>
  </sheetViews>
  <sheetFormatPr defaultRowHeight="14.4" x14ac:dyDescent="0.3"/>
  <cols>
    <col min="1" max="1" width="5.5546875" bestFit="1" customWidth="1"/>
    <col min="2" max="2" width="35.44140625" customWidth="1"/>
    <col min="3" max="3" width="21.33203125" customWidth="1"/>
    <col min="4" max="4" width="13.5546875" bestFit="1" customWidth="1"/>
    <col min="5" max="5" width="11.21875" bestFit="1" customWidth="1"/>
    <col min="6" max="6" width="17.44140625" bestFit="1" customWidth="1"/>
    <col min="7" max="7" width="11.33203125" bestFit="1" customWidth="1"/>
    <col min="8" max="8" width="12.77734375" bestFit="1" customWidth="1"/>
    <col min="9" max="9" width="16.6640625" bestFit="1" customWidth="1"/>
    <col min="10" max="10" width="12" bestFit="1" customWidth="1"/>
    <col min="11" max="11" width="10.44140625" bestFit="1" customWidth="1"/>
    <col min="12" max="12" width="11.44140625" bestFit="1" customWidth="1"/>
    <col min="13" max="13" width="16.109375" bestFit="1" customWidth="1"/>
    <col min="14" max="14" width="16.6640625" bestFit="1" customWidth="1"/>
    <col min="15" max="15" width="12.77734375" bestFit="1" customWidth="1"/>
    <col min="16" max="16" width="18.21875" bestFit="1" customWidth="1"/>
    <col min="17" max="17" width="9" bestFit="1" customWidth="1"/>
  </cols>
  <sheetData>
    <row r="1" spans="1:17" x14ac:dyDescent="0.3">
      <c r="A1" s="46" t="s">
        <v>21</v>
      </c>
      <c r="B1" s="118" t="s">
        <v>0</v>
      </c>
      <c r="C1" s="156" t="s">
        <v>119</v>
      </c>
      <c r="D1" s="117" t="s">
        <v>1</v>
      </c>
      <c r="E1" s="117" t="s">
        <v>19</v>
      </c>
      <c r="F1" s="117" t="s">
        <v>2</v>
      </c>
      <c r="G1" s="117" t="s">
        <v>87</v>
      </c>
      <c r="H1" s="117" t="s">
        <v>25</v>
      </c>
      <c r="I1" s="117" t="s">
        <v>54</v>
      </c>
      <c r="J1" s="117" t="s">
        <v>86</v>
      </c>
      <c r="K1" s="117" t="s">
        <v>3</v>
      </c>
      <c r="L1" s="117" t="s">
        <v>79</v>
      </c>
      <c r="M1" s="118" t="s">
        <v>61</v>
      </c>
      <c r="N1" s="118" t="s">
        <v>20</v>
      </c>
      <c r="O1" s="119" t="s">
        <v>4</v>
      </c>
      <c r="P1" s="120" t="s">
        <v>28</v>
      </c>
      <c r="Q1" s="119" t="s">
        <v>29</v>
      </c>
    </row>
    <row r="2" spans="1:17" x14ac:dyDescent="0.3">
      <c r="A2" s="51">
        <v>1</v>
      </c>
      <c r="B2" s="154" t="s">
        <v>111</v>
      </c>
      <c r="C2" s="7" t="s">
        <v>123</v>
      </c>
      <c r="D2" s="115"/>
      <c r="E2" s="60">
        <v>43</v>
      </c>
      <c r="F2" s="60" t="s">
        <v>112</v>
      </c>
      <c r="G2" s="87">
        <v>28670</v>
      </c>
      <c r="H2" s="87">
        <v>3950</v>
      </c>
      <c r="I2" s="87">
        <v>5000</v>
      </c>
      <c r="J2" s="87">
        <f t="shared" ref="J2:J7" si="0">G2+H2-I2</f>
        <v>27620</v>
      </c>
      <c r="K2" s="87">
        <f t="shared" ref="K2:K14" si="1">J2*18%</f>
        <v>4971.5999999999995</v>
      </c>
      <c r="L2" s="87">
        <f>SUM(J2:K2)</f>
        <v>32591.599999999999</v>
      </c>
      <c r="M2" s="90">
        <v>32592</v>
      </c>
      <c r="N2" s="54">
        <f>L2-M2</f>
        <v>-0.40000000000145519</v>
      </c>
      <c r="O2" s="63" t="s">
        <v>113</v>
      </c>
      <c r="P2" s="121">
        <v>174400</v>
      </c>
      <c r="Q2" s="116">
        <f t="shared" ref="Q2:Q9" si="2">J2/P2</f>
        <v>0.15837155963302751</v>
      </c>
    </row>
    <row r="3" spans="1:17" x14ac:dyDescent="0.3">
      <c r="A3" s="51">
        <v>2</v>
      </c>
      <c r="B3" s="154" t="s">
        <v>114</v>
      </c>
      <c r="C3" s="7" t="s">
        <v>122</v>
      </c>
      <c r="D3" s="115"/>
      <c r="E3" s="60">
        <v>44</v>
      </c>
      <c r="F3" s="60" t="s">
        <v>115</v>
      </c>
      <c r="G3" s="87">
        <v>2930</v>
      </c>
      <c r="H3" s="87">
        <v>0</v>
      </c>
      <c r="I3" s="87">
        <v>150</v>
      </c>
      <c r="J3" s="87">
        <f t="shared" si="0"/>
        <v>2780</v>
      </c>
      <c r="K3" s="87">
        <f t="shared" si="1"/>
        <v>500.4</v>
      </c>
      <c r="L3" s="87">
        <f>SUM(J3:K3)</f>
        <v>3280.4</v>
      </c>
      <c r="M3" s="90">
        <f>L3</f>
        <v>3280.4</v>
      </c>
      <c r="N3" s="54">
        <v>0</v>
      </c>
      <c r="O3" s="63" t="s">
        <v>113</v>
      </c>
      <c r="P3" s="121">
        <v>18700</v>
      </c>
      <c r="Q3" s="116">
        <f t="shared" si="2"/>
        <v>0.14866310160427806</v>
      </c>
    </row>
    <row r="4" spans="1:17" x14ac:dyDescent="0.3">
      <c r="A4" s="65">
        <v>3</v>
      </c>
      <c r="B4" s="154" t="s">
        <v>116</v>
      </c>
      <c r="C4" s="7" t="s">
        <v>121</v>
      </c>
      <c r="D4" s="115"/>
      <c r="E4" s="60">
        <v>45</v>
      </c>
      <c r="F4" s="60" t="s">
        <v>117</v>
      </c>
      <c r="G4" s="61">
        <v>26580</v>
      </c>
      <c r="H4" s="61">
        <v>400</v>
      </c>
      <c r="I4" s="61">
        <v>0</v>
      </c>
      <c r="J4" s="61">
        <f t="shared" si="0"/>
        <v>26980</v>
      </c>
      <c r="K4" s="61">
        <f t="shared" si="1"/>
        <v>4856.3999999999996</v>
      </c>
      <c r="L4" s="61">
        <f>SUM(J4:K4)</f>
        <v>31836.400000000001</v>
      </c>
      <c r="M4" s="90">
        <f>L4</f>
        <v>31836.400000000001</v>
      </c>
      <c r="N4" s="88">
        <f>L4-M4</f>
        <v>0</v>
      </c>
      <c r="O4" s="63" t="s">
        <v>113</v>
      </c>
      <c r="P4" s="64">
        <v>153900</v>
      </c>
      <c r="Q4" s="116">
        <f t="shared" si="2"/>
        <v>0.17530864197530865</v>
      </c>
    </row>
    <row r="5" spans="1:17" x14ac:dyDescent="0.3">
      <c r="A5" s="65">
        <v>4</v>
      </c>
      <c r="B5" s="154" t="s">
        <v>118</v>
      </c>
      <c r="C5" s="7" t="s">
        <v>120</v>
      </c>
      <c r="D5" s="115"/>
      <c r="E5" s="60">
        <v>46</v>
      </c>
      <c r="F5" s="60" t="s">
        <v>139</v>
      </c>
      <c r="G5" s="61">
        <f>1470*6</f>
        <v>8820</v>
      </c>
      <c r="H5" s="61">
        <v>0</v>
      </c>
      <c r="I5" s="67">
        <v>500</v>
      </c>
      <c r="J5" s="61">
        <f t="shared" si="0"/>
        <v>8320</v>
      </c>
      <c r="K5" s="61">
        <f t="shared" si="1"/>
        <v>1497.6</v>
      </c>
      <c r="L5" s="61">
        <f>SUM(J5:K5)</f>
        <v>9817.6</v>
      </c>
      <c r="M5" s="90">
        <f>L5</f>
        <v>9817.6</v>
      </c>
      <c r="N5" s="88">
        <v>0</v>
      </c>
      <c r="O5" s="63" t="s">
        <v>113</v>
      </c>
      <c r="P5" s="64">
        <v>11600</v>
      </c>
      <c r="Q5" s="66">
        <f t="shared" si="2"/>
        <v>0.71724137931034482</v>
      </c>
    </row>
    <row r="6" spans="1:17" x14ac:dyDescent="0.3">
      <c r="A6" s="51">
        <v>5</v>
      </c>
      <c r="B6" s="154" t="s">
        <v>136</v>
      </c>
      <c r="C6" s="39"/>
      <c r="D6" s="115"/>
      <c r="E6" s="60">
        <v>47</v>
      </c>
      <c r="F6" s="143">
        <v>45787</v>
      </c>
      <c r="G6" s="61">
        <v>3150</v>
      </c>
      <c r="H6" s="61">
        <v>200</v>
      </c>
      <c r="I6" s="61">
        <v>0</v>
      </c>
      <c r="J6" s="87">
        <f t="shared" si="0"/>
        <v>3350</v>
      </c>
      <c r="K6" s="87">
        <f t="shared" si="1"/>
        <v>603</v>
      </c>
      <c r="L6" s="87">
        <f t="shared" ref="L6:L11" si="3">J6+K6</f>
        <v>3953</v>
      </c>
      <c r="M6" s="90">
        <v>3953</v>
      </c>
      <c r="N6" s="54">
        <v>0</v>
      </c>
      <c r="O6" s="63" t="s">
        <v>113</v>
      </c>
      <c r="P6" s="64">
        <v>7000</v>
      </c>
      <c r="Q6" s="66">
        <f t="shared" si="2"/>
        <v>0.47857142857142859</v>
      </c>
    </row>
    <row r="7" spans="1:17" x14ac:dyDescent="0.3">
      <c r="A7" s="65">
        <v>4</v>
      </c>
      <c r="B7" s="154" t="s">
        <v>116</v>
      </c>
      <c r="C7" s="7" t="s">
        <v>121</v>
      </c>
      <c r="D7" s="115"/>
      <c r="E7" s="60">
        <v>48</v>
      </c>
      <c r="F7" s="60" t="s">
        <v>137</v>
      </c>
      <c r="G7" s="61">
        <v>81770</v>
      </c>
      <c r="H7" s="61">
        <v>3570</v>
      </c>
      <c r="I7" s="61">
        <v>8000</v>
      </c>
      <c r="J7" s="87">
        <f t="shared" si="0"/>
        <v>77340</v>
      </c>
      <c r="K7" s="87">
        <f t="shared" si="1"/>
        <v>13921.199999999999</v>
      </c>
      <c r="L7" s="87">
        <f t="shared" si="3"/>
        <v>91261.2</v>
      </c>
      <c r="M7" s="90"/>
      <c r="N7" s="54">
        <f>L7</f>
        <v>91261.2</v>
      </c>
      <c r="O7" s="63" t="s">
        <v>113</v>
      </c>
      <c r="P7" s="64">
        <v>280000</v>
      </c>
      <c r="Q7" s="116">
        <f t="shared" si="2"/>
        <v>0.27621428571428569</v>
      </c>
    </row>
    <row r="8" spans="1:17" x14ac:dyDescent="0.3">
      <c r="A8" s="65">
        <v>5</v>
      </c>
      <c r="B8" s="154" t="s">
        <v>138</v>
      </c>
      <c r="C8" s="7" t="s">
        <v>129</v>
      </c>
      <c r="D8" s="115"/>
      <c r="E8" s="60">
        <v>49</v>
      </c>
      <c r="F8" s="60" t="s">
        <v>137</v>
      </c>
      <c r="G8" s="61">
        <v>8740</v>
      </c>
      <c r="H8" s="61">
        <v>0</v>
      </c>
      <c r="I8" s="61">
        <v>0</v>
      </c>
      <c r="J8" s="87">
        <f t="shared" ref="J8:J14" si="4">G8+H8-I8</f>
        <v>8740</v>
      </c>
      <c r="K8" s="87">
        <f t="shared" si="1"/>
        <v>1573.2</v>
      </c>
      <c r="L8" s="87">
        <f t="shared" si="3"/>
        <v>10313.200000000001</v>
      </c>
      <c r="M8" s="90">
        <f>L8</f>
        <v>10313.200000000001</v>
      </c>
      <c r="N8" s="54">
        <v>0</v>
      </c>
      <c r="O8" s="63" t="s">
        <v>113</v>
      </c>
      <c r="P8" s="64">
        <v>130500</v>
      </c>
      <c r="Q8" s="116">
        <f t="shared" si="2"/>
        <v>6.697318007662835E-2</v>
      </c>
    </row>
    <row r="9" spans="1:17" x14ac:dyDescent="0.3">
      <c r="A9" s="65">
        <v>6</v>
      </c>
      <c r="B9" s="154" t="s">
        <v>152</v>
      </c>
      <c r="C9" s="7" t="s">
        <v>133</v>
      </c>
      <c r="D9" s="115"/>
      <c r="E9" s="60">
        <v>50</v>
      </c>
      <c r="F9" s="60" t="s">
        <v>151</v>
      </c>
      <c r="G9" s="61">
        <v>18720</v>
      </c>
      <c r="H9" s="61">
        <v>5850</v>
      </c>
      <c r="I9" s="61">
        <v>0</v>
      </c>
      <c r="J9" s="87">
        <f t="shared" si="4"/>
        <v>24570</v>
      </c>
      <c r="K9" s="87">
        <f t="shared" si="1"/>
        <v>4422.5999999999995</v>
      </c>
      <c r="L9" s="87">
        <f t="shared" si="3"/>
        <v>28992.6</v>
      </c>
      <c r="M9" s="90"/>
      <c r="N9" s="54">
        <f>L9</f>
        <v>28992.6</v>
      </c>
      <c r="O9" s="63" t="s">
        <v>113</v>
      </c>
      <c r="P9" s="64">
        <v>149800</v>
      </c>
      <c r="Q9" s="116">
        <f t="shared" si="2"/>
        <v>0.16401869158878504</v>
      </c>
    </row>
    <row r="10" spans="1:17" x14ac:dyDescent="0.3">
      <c r="A10" s="65">
        <v>7</v>
      </c>
      <c r="B10" s="154" t="s">
        <v>153</v>
      </c>
      <c r="C10" s="7" t="s">
        <v>123</v>
      </c>
      <c r="D10" s="115"/>
      <c r="E10" s="60">
        <v>51</v>
      </c>
      <c r="F10" s="60" t="s">
        <v>154</v>
      </c>
      <c r="G10" s="61">
        <v>21720</v>
      </c>
      <c r="H10" s="61">
        <v>1000</v>
      </c>
      <c r="I10" s="61">
        <v>0</v>
      </c>
      <c r="J10" s="87">
        <f t="shared" si="4"/>
        <v>22720</v>
      </c>
      <c r="K10" s="61">
        <f t="shared" si="1"/>
        <v>4089.6</v>
      </c>
      <c r="L10" s="61">
        <f t="shared" si="3"/>
        <v>26809.599999999999</v>
      </c>
      <c r="M10" s="90"/>
      <c r="N10" s="54">
        <f>L10</f>
        <v>26809.599999999999</v>
      </c>
      <c r="O10" s="63" t="s">
        <v>113</v>
      </c>
      <c r="P10" s="64">
        <v>109320</v>
      </c>
      <c r="Q10" s="116">
        <f>J10/P10</f>
        <v>0.20783022319795097</v>
      </c>
    </row>
    <row r="11" spans="1:17" x14ac:dyDescent="0.3">
      <c r="A11" s="65">
        <v>8</v>
      </c>
      <c r="B11" t="s">
        <v>157</v>
      </c>
      <c r="C11" s="157" t="s">
        <v>156</v>
      </c>
      <c r="D11" s="60"/>
      <c r="E11" s="60">
        <v>52</v>
      </c>
      <c r="F11" s="60" t="s">
        <v>154</v>
      </c>
      <c r="G11" s="61">
        <v>26500</v>
      </c>
      <c r="H11" s="61">
        <v>3500</v>
      </c>
      <c r="I11" s="61">
        <v>0</v>
      </c>
      <c r="J11" s="87">
        <f t="shared" si="4"/>
        <v>30000</v>
      </c>
      <c r="K11" s="61">
        <f t="shared" si="1"/>
        <v>5400</v>
      </c>
      <c r="L11" s="61">
        <f t="shared" si="3"/>
        <v>35400</v>
      </c>
      <c r="M11" s="90"/>
      <c r="N11" s="54">
        <f>L11</f>
        <v>35400</v>
      </c>
      <c r="O11" s="63" t="s">
        <v>113</v>
      </c>
      <c r="P11" s="64">
        <v>501900</v>
      </c>
      <c r="Q11" s="116">
        <f>J11/P11</f>
        <v>5.9772863120143453E-2</v>
      </c>
    </row>
    <row r="12" spans="1:17" x14ac:dyDescent="0.3">
      <c r="A12" s="51">
        <v>10</v>
      </c>
      <c r="B12" s="60" t="s">
        <v>169</v>
      </c>
      <c r="C12" s="60" t="s">
        <v>127</v>
      </c>
      <c r="D12" s="115"/>
      <c r="E12" s="60">
        <v>58</v>
      </c>
      <c r="F12" s="60" t="s">
        <v>171</v>
      </c>
      <c r="G12" s="87">
        <v>1600</v>
      </c>
      <c r="H12" s="87">
        <v>0</v>
      </c>
      <c r="I12" s="87">
        <v>160</v>
      </c>
      <c r="J12" s="87">
        <f t="shared" si="4"/>
        <v>1440</v>
      </c>
      <c r="K12" s="87">
        <f t="shared" si="1"/>
        <v>259.2</v>
      </c>
      <c r="L12" s="87">
        <f>SUM(J12:K12)</f>
        <v>1699.2</v>
      </c>
      <c r="M12" s="172">
        <f>L12</f>
        <v>1699.2</v>
      </c>
      <c r="N12" s="173">
        <f>L12-M12</f>
        <v>0</v>
      </c>
      <c r="O12" s="63" t="s">
        <v>113</v>
      </c>
      <c r="P12" s="121">
        <v>12000</v>
      </c>
      <c r="Q12" s="116">
        <f>J12/P12</f>
        <v>0.12</v>
      </c>
    </row>
    <row r="13" spans="1:17" x14ac:dyDescent="0.3">
      <c r="A13" s="51">
        <v>11</v>
      </c>
      <c r="B13" s="155"/>
      <c r="C13" s="7"/>
      <c r="D13" s="52"/>
      <c r="E13" s="52"/>
      <c r="F13" s="52"/>
      <c r="G13" s="67">
        <v>0</v>
      </c>
      <c r="H13" s="67">
        <v>0</v>
      </c>
      <c r="I13" s="67">
        <v>0</v>
      </c>
      <c r="J13" s="53">
        <f t="shared" si="4"/>
        <v>0</v>
      </c>
      <c r="K13" s="67">
        <f t="shared" si="1"/>
        <v>0</v>
      </c>
      <c r="L13" s="67">
        <f>J13+K13</f>
        <v>0</v>
      </c>
      <c r="M13" s="90"/>
      <c r="N13" s="88"/>
      <c r="O13" s="55"/>
      <c r="P13" s="69"/>
      <c r="Q13" s="70"/>
    </row>
    <row r="14" spans="1:17" x14ac:dyDescent="0.3">
      <c r="A14" s="51">
        <v>12</v>
      </c>
      <c r="B14" s="155"/>
      <c r="C14" s="7"/>
      <c r="D14" s="52"/>
      <c r="E14" s="52"/>
      <c r="F14" s="52"/>
      <c r="G14" s="67">
        <v>0</v>
      </c>
      <c r="H14" s="67">
        <v>0</v>
      </c>
      <c r="I14" s="67">
        <v>0</v>
      </c>
      <c r="J14" s="53">
        <f t="shared" si="4"/>
        <v>0</v>
      </c>
      <c r="K14" s="67">
        <f t="shared" si="1"/>
        <v>0</v>
      </c>
      <c r="L14" s="67">
        <f>J14+K14</f>
        <v>0</v>
      </c>
      <c r="M14" s="90"/>
      <c r="N14" s="88"/>
      <c r="O14" s="55"/>
      <c r="P14" s="69"/>
      <c r="Q14" s="70"/>
    </row>
    <row r="15" spans="1:17" x14ac:dyDescent="0.3">
      <c r="A15" s="51"/>
      <c r="B15" s="155"/>
      <c r="C15" s="7"/>
      <c r="D15" s="52"/>
      <c r="E15" s="52"/>
      <c r="F15" s="52"/>
      <c r="G15" s="53"/>
      <c r="H15" s="53"/>
      <c r="I15" s="53"/>
      <c r="J15" s="53"/>
      <c r="K15" s="53"/>
      <c r="L15" s="53"/>
      <c r="M15" s="90"/>
      <c r="N15" s="54"/>
      <c r="O15" s="55"/>
      <c r="P15" s="56"/>
      <c r="Q15" s="57"/>
    </row>
    <row r="16" spans="1:17" x14ac:dyDescent="0.3">
      <c r="A16" s="51"/>
      <c r="B16" s="155"/>
      <c r="C16" s="7"/>
      <c r="D16" s="52"/>
      <c r="E16" s="52"/>
      <c r="F16" s="52"/>
      <c r="G16" s="53"/>
      <c r="H16" s="53"/>
      <c r="I16" s="53"/>
      <c r="J16" s="53"/>
      <c r="L16" s="53"/>
      <c r="M16" s="90"/>
      <c r="N16" s="54"/>
      <c r="O16" s="55"/>
      <c r="P16" s="56"/>
      <c r="Q16" s="57"/>
    </row>
    <row r="17" spans="1:17" x14ac:dyDescent="0.3">
      <c r="A17" s="51"/>
      <c r="B17" s="155"/>
      <c r="C17" s="7"/>
      <c r="D17" s="52"/>
      <c r="E17" s="52"/>
      <c r="F17" s="52"/>
      <c r="G17" s="53"/>
      <c r="H17" s="53"/>
      <c r="I17" s="53"/>
      <c r="J17" s="53"/>
      <c r="K17" s="53"/>
      <c r="L17" s="53"/>
      <c r="M17" s="90"/>
      <c r="N17" s="54"/>
      <c r="O17" s="55"/>
      <c r="P17" s="56"/>
      <c r="Q17" s="57"/>
    </row>
    <row r="18" spans="1:17" x14ac:dyDescent="0.3">
      <c r="A18" s="51"/>
      <c r="B18" s="155"/>
      <c r="C18" s="7"/>
      <c r="D18" s="52"/>
      <c r="E18" s="52"/>
      <c r="F18" s="52"/>
      <c r="G18" s="53"/>
      <c r="H18" s="53"/>
      <c r="I18" s="53"/>
      <c r="J18" s="53"/>
      <c r="K18" s="53"/>
      <c r="L18" s="53"/>
      <c r="M18" s="90"/>
      <c r="N18" s="54"/>
      <c r="O18" s="55"/>
      <c r="P18" s="56"/>
      <c r="Q18" s="57"/>
    </row>
    <row r="19" spans="1:17" x14ac:dyDescent="0.3">
      <c r="A19" s="51"/>
      <c r="B19" s="155"/>
      <c r="C19" s="7"/>
      <c r="D19" s="52"/>
      <c r="E19" s="52"/>
      <c r="F19" s="52"/>
      <c r="G19" s="53"/>
      <c r="H19" s="53"/>
      <c r="I19" s="53"/>
      <c r="J19" s="53"/>
      <c r="K19" s="53"/>
      <c r="L19" s="53"/>
      <c r="M19" s="90"/>
      <c r="N19" s="54"/>
      <c r="O19" s="55"/>
      <c r="P19" s="56"/>
      <c r="Q19" s="57"/>
    </row>
    <row r="20" spans="1:17" x14ac:dyDescent="0.3">
      <c r="A20" s="51"/>
      <c r="B20" s="155"/>
      <c r="C20" s="7"/>
      <c r="D20" s="52"/>
      <c r="E20" s="52"/>
      <c r="F20" s="52"/>
      <c r="G20" s="53"/>
      <c r="H20" s="53"/>
      <c r="I20" s="53"/>
      <c r="J20" s="53"/>
      <c r="K20" s="53"/>
      <c r="L20" s="53"/>
      <c r="M20" s="90"/>
      <c r="N20" s="54"/>
      <c r="O20" s="55"/>
      <c r="P20" s="56"/>
      <c r="Q20" s="57"/>
    </row>
    <row r="21" spans="1:17" x14ac:dyDescent="0.3">
      <c r="A21" s="51"/>
      <c r="B21" s="155"/>
      <c r="C21" s="7"/>
      <c r="D21" s="52"/>
      <c r="E21" s="52"/>
      <c r="F21" s="52"/>
      <c r="G21" s="53"/>
      <c r="H21" s="53"/>
      <c r="I21" s="53"/>
      <c r="J21" s="53"/>
      <c r="K21" s="53"/>
      <c r="L21" s="53"/>
      <c r="M21" s="90"/>
      <c r="N21" s="54"/>
      <c r="O21" s="55"/>
      <c r="P21" s="56"/>
      <c r="Q21" s="57"/>
    </row>
    <row r="22" spans="1:17" x14ac:dyDescent="0.3">
      <c r="A22" s="51"/>
      <c r="B22" s="155"/>
      <c r="C22" s="7"/>
      <c r="D22" s="52"/>
      <c r="E22" s="52"/>
      <c r="F22" s="52"/>
      <c r="G22" s="53"/>
      <c r="H22" s="53"/>
      <c r="I22" s="53"/>
      <c r="J22" s="53"/>
      <c r="K22" s="53"/>
      <c r="L22" s="53"/>
      <c r="M22" s="89"/>
      <c r="N22" s="54"/>
      <c r="O22" s="55"/>
      <c r="P22" s="56"/>
      <c r="Q22" s="57"/>
    </row>
    <row r="23" spans="1:17" ht="15" thickBot="1" x14ac:dyDescent="0.35">
      <c r="A23" s="51"/>
      <c r="B23" s="52"/>
      <c r="C23" s="7"/>
      <c r="D23" s="52"/>
      <c r="E23" s="52"/>
      <c r="F23" s="52"/>
      <c r="G23" s="53"/>
      <c r="H23" s="53"/>
      <c r="I23" s="53"/>
      <c r="J23" s="53"/>
      <c r="K23" s="53"/>
      <c r="L23" s="53"/>
      <c r="M23" s="89"/>
      <c r="N23" s="54"/>
      <c r="O23" s="55"/>
      <c r="P23" s="56"/>
      <c r="Q23" s="57"/>
    </row>
    <row r="24" spans="1:17" x14ac:dyDescent="0.3">
      <c r="A24" s="46"/>
      <c r="B24" s="117"/>
      <c r="C24" s="117"/>
      <c r="D24" s="117"/>
      <c r="E24" s="117"/>
      <c r="F24" s="117"/>
      <c r="G24" s="132">
        <f t="shared" ref="G24:N24" si="5">SUM(G2:G23)</f>
        <v>229200</v>
      </c>
      <c r="H24" s="132">
        <f t="shared" si="5"/>
        <v>18470</v>
      </c>
      <c r="I24" s="132">
        <f t="shared" si="5"/>
        <v>13810</v>
      </c>
      <c r="J24" s="132">
        <f t="shared" si="5"/>
        <v>233860</v>
      </c>
      <c r="K24" s="132">
        <f t="shared" si="5"/>
        <v>42094.799999999996</v>
      </c>
      <c r="L24" s="132">
        <f t="shared" si="5"/>
        <v>275954.80000000005</v>
      </c>
      <c r="M24" s="133">
        <f t="shared" si="5"/>
        <v>93491.8</v>
      </c>
      <c r="N24" s="133">
        <f t="shared" si="5"/>
        <v>182463</v>
      </c>
      <c r="O24" s="134"/>
      <c r="P24" s="135">
        <f>SUM(P2:P23)</f>
        <v>1549120</v>
      </c>
      <c r="Q24" s="134">
        <f>J24/P24</f>
        <v>0.15096312745300558</v>
      </c>
    </row>
    <row r="25" spans="1:17" x14ac:dyDescent="0.3">
      <c r="A25" s="51"/>
      <c r="B25" s="60"/>
      <c r="C25" s="60"/>
      <c r="D25" s="115"/>
      <c r="E25" s="60"/>
      <c r="F25" s="60"/>
      <c r="G25" s="136"/>
      <c r="H25" s="136"/>
      <c r="I25" s="152">
        <f>I24/G24</f>
        <v>6.0253054101221643E-2</v>
      </c>
      <c r="J25" s="136"/>
      <c r="K25" s="136"/>
      <c r="L25" s="136"/>
      <c r="M25" s="137"/>
      <c r="N25" s="138"/>
      <c r="O25" s="139"/>
      <c r="P25" s="140"/>
      <c r="Q25" s="139"/>
    </row>
    <row r="27" spans="1:17" x14ac:dyDescent="0.3">
      <c r="J27" s="45"/>
    </row>
    <row r="28" spans="1:17" x14ac:dyDescent="0.3">
      <c r="J28" s="45"/>
    </row>
    <row r="29" spans="1:17" x14ac:dyDescent="0.3">
      <c r="G29" s="45"/>
      <c r="I29" s="45"/>
    </row>
    <row r="30" spans="1:17" x14ac:dyDescent="0.3">
      <c r="F30" s="45"/>
      <c r="H30" s="45"/>
      <c r="I30" s="45"/>
    </row>
    <row r="31" spans="1:17" x14ac:dyDescent="0.3">
      <c r="B31" s="147" t="s">
        <v>147</v>
      </c>
      <c r="C31" s="147" t="s">
        <v>145</v>
      </c>
      <c r="D31" s="147" t="s">
        <v>146</v>
      </c>
      <c r="E31" s="147" t="s">
        <v>71</v>
      </c>
      <c r="F31" s="45"/>
      <c r="H31" s="45"/>
      <c r="I31" s="45"/>
      <c r="K31" s="45"/>
    </row>
    <row r="32" spans="1:17" x14ac:dyDescent="0.3">
      <c r="B32" s="147" t="s">
        <v>140</v>
      </c>
      <c r="C32" s="149">
        <v>850</v>
      </c>
      <c r="D32" s="149">
        <v>25</v>
      </c>
      <c r="E32" s="149">
        <f>C32*D32</f>
        <v>21250</v>
      </c>
    </row>
    <row r="33" spans="2:10" x14ac:dyDescent="0.3">
      <c r="B33" s="147" t="s">
        <v>144</v>
      </c>
      <c r="C33" s="149">
        <v>250</v>
      </c>
      <c r="D33" s="149">
        <v>12</v>
      </c>
      <c r="E33" s="149">
        <f t="shared" ref="E33:E36" si="6">C33*D33</f>
        <v>3000</v>
      </c>
      <c r="I33" s="45"/>
    </row>
    <row r="34" spans="2:10" x14ac:dyDescent="0.3">
      <c r="B34" s="147" t="s">
        <v>141</v>
      </c>
      <c r="C34" s="149">
        <v>350</v>
      </c>
      <c r="D34" s="149">
        <v>15</v>
      </c>
      <c r="E34" s="149">
        <f t="shared" si="6"/>
        <v>5250</v>
      </c>
      <c r="I34" s="153"/>
      <c r="J34" s="144"/>
    </row>
    <row r="35" spans="2:10" x14ac:dyDescent="0.3">
      <c r="B35" s="147" t="s">
        <v>142</v>
      </c>
      <c r="C35" s="149">
        <v>350</v>
      </c>
      <c r="D35" s="149">
        <v>12</v>
      </c>
      <c r="E35" s="149">
        <f t="shared" si="6"/>
        <v>4200</v>
      </c>
      <c r="I35" s="145"/>
      <c r="J35" s="144"/>
    </row>
    <row r="36" spans="2:10" x14ac:dyDescent="0.3">
      <c r="B36" s="147" t="s">
        <v>143</v>
      </c>
      <c r="C36" s="149">
        <v>750</v>
      </c>
      <c r="D36" s="149">
        <v>8</v>
      </c>
      <c r="E36" s="149">
        <f t="shared" si="6"/>
        <v>6000</v>
      </c>
      <c r="I36" s="153"/>
      <c r="J36" s="144"/>
    </row>
    <row r="37" spans="2:10" x14ac:dyDescent="0.3">
      <c r="B37" s="147" t="s">
        <v>148</v>
      </c>
      <c r="C37" s="149">
        <v>550</v>
      </c>
      <c r="D37" s="149">
        <v>1</v>
      </c>
      <c r="E37" s="149">
        <f>C37*D37</f>
        <v>550</v>
      </c>
      <c r="I37" s="153"/>
      <c r="J37" s="144"/>
    </row>
    <row r="38" spans="2:10" x14ac:dyDescent="0.3">
      <c r="B38" s="147" t="s">
        <v>71</v>
      </c>
      <c r="C38" s="149">
        <f>SUM(C32:C36)</f>
        <v>2550</v>
      </c>
      <c r="D38" s="149">
        <f>SUM(D32:D37)</f>
        <v>73</v>
      </c>
      <c r="E38" s="149">
        <f>SUM(E32:E37)</f>
        <v>40250</v>
      </c>
      <c r="I38" s="145"/>
      <c r="J38" s="144"/>
    </row>
    <row r="39" spans="2:10" x14ac:dyDescent="0.3">
      <c r="B39" s="147" t="s">
        <v>149</v>
      </c>
      <c r="C39" s="150"/>
      <c r="D39" s="150"/>
      <c r="E39" s="149">
        <f>E38*18%</f>
        <v>7245</v>
      </c>
      <c r="I39" s="145"/>
      <c r="J39" s="144"/>
    </row>
    <row r="40" spans="2:10" x14ac:dyDescent="0.3">
      <c r="B40" s="148" t="s">
        <v>150</v>
      </c>
      <c r="C40" s="151"/>
      <c r="D40" s="151"/>
      <c r="E40" s="151">
        <f>SUM(E38:E39)</f>
        <v>47495</v>
      </c>
      <c r="I40" s="153"/>
      <c r="J40" s="144"/>
    </row>
    <row r="41" spans="2:10" x14ac:dyDescent="0.3">
      <c r="I41" s="145"/>
      <c r="J41" s="144"/>
    </row>
    <row r="43" spans="2:10" x14ac:dyDescent="0.3">
      <c r="I43" s="145"/>
      <c r="J43" s="145"/>
    </row>
    <row r="44" spans="2:10" x14ac:dyDescent="0.3">
      <c r="I44" s="145"/>
      <c r="J44" s="146"/>
    </row>
    <row r="45" spans="2:10" x14ac:dyDescent="0.3">
      <c r="I45" s="145"/>
      <c r="J45" s="146"/>
    </row>
    <row r="46" spans="2:10" x14ac:dyDescent="0.3">
      <c r="I46" s="145"/>
      <c r="J46" s="146"/>
    </row>
    <row r="47" spans="2:10" x14ac:dyDescent="0.3">
      <c r="I47" s="145"/>
      <c r="J47" s="146"/>
    </row>
    <row r="48" spans="2:10" x14ac:dyDescent="0.3">
      <c r="I48" s="145"/>
      <c r="J48" s="146"/>
    </row>
    <row r="49" spans="9:10" x14ac:dyDescent="0.3">
      <c r="I49" s="145"/>
      <c r="J49" s="146"/>
    </row>
    <row r="50" spans="9:10" x14ac:dyDescent="0.3">
      <c r="I50" s="145"/>
      <c r="J50" s="146"/>
    </row>
    <row r="51" spans="9:10" x14ac:dyDescent="0.3">
      <c r="I51" s="145"/>
      <c r="J51" s="14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B5A1-CABC-4A81-9587-A501C393BD95}">
  <dimension ref="A1:Q31"/>
  <sheetViews>
    <sheetView tabSelected="1" zoomScale="90" zoomScaleNormal="90" workbookViewId="0">
      <selection activeCell="P2" sqref="P2"/>
    </sheetView>
  </sheetViews>
  <sheetFormatPr defaultRowHeight="14.4" x14ac:dyDescent="0.3"/>
  <cols>
    <col min="2" max="2" width="22.5546875" bestFit="1" customWidth="1"/>
    <col min="3" max="3" width="18.77734375" customWidth="1"/>
    <col min="4" max="4" width="13.44140625" bestFit="1" customWidth="1"/>
    <col min="5" max="5" width="9.77734375" bestFit="1" customWidth="1"/>
    <col min="6" max="6" width="9.6640625" customWidth="1"/>
    <col min="7" max="7" width="10.44140625" bestFit="1" customWidth="1"/>
    <col min="9" max="9" width="16.5546875" bestFit="1" customWidth="1"/>
    <col min="10" max="11" width="10.44140625" bestFit="1" customWidth="1"/>
    <col min="12" max="12" width="12.21875" bestFit="1" customWidth="1"/>
    <col min="13" max="13" width="16" bestFit="1" customWidth="1"/>
    <col min="14" max="14" width="16.5546875" bestFit="1" customWidth="1"/>
    <col min="15" max="15" width="12.77734375" bestFit="1" customWidth="1"/>
    <col min="16" max="16" width="18.21875" bestFit="1" customWidth="1"/>
  </cols>
  <sheetData>
    <row r="1" spans="1:17" x14ac:dyDescent="0.3">
      <c r="A1" s="170" t="s">
        <v>21</v>
      </c>
      <c r="B1" s="171" t="s">
        <v>0</v>
      </c>
      <c r="C1" s="156" t="s">
        <v>119</v>
      </c>
      <c r="D1" s="171" t="s">
        <v>1</v>
      </c>
      <c r="E1" s="171" t="s">
        <v>19</v>
      </c>
      <c r="F1" s="171" t="s">
        <v>2</v>
      </c>
      <c r="G1" s="171" t="s">
        <v>87</v>
      </c>
      <c r="H1" s="171" t="s">
        <v>25</v>
      </c>
      <c r="I1" s="171" t="s">
        <v>54</v>
      </c>
      <c r="J1" s="171" t="s">
        <v>86</v>
      </c>
      <c r="K1" s="171" t="s">
        <v>3</v>
      </c>
      <c r="L1" s="171" t="s">
        <v>79</v>
      </c>
      <c r="M1" s="171" t="s">
        <v>61</v>
      </c>
      <c r="N1" s="171" t="s">
        <v>20</v>
      </c>
      <c r="O1" s="119" t="s">
        <v>4</v>
      </c>
      <c r="P1" s="120" t="s">
        <v>28</v>
      </c>
      <c r="Q1" s="119" t="s">
        <v>29</v>
      </c>
    </row>
    <row r="2" spans="1:17" x14ac:dyDescent="0.3">
      <c r="A2" s="52">
        <v>1</v>
      </c>
      <c r="B2" s="60" t="s">
        <v>158</v>
      </c>
      <c r="C2" s="60" t="s">
        <v>159</v>
      </c>
      <c r="D2" s="115"/>
      <c r="E2" s="60">
        <v>53</v>
      </c>
      <c r="F2" s="60" t="s">
        <v>170</v>
      </c>
      <c r="G2" s="87">
        <f>'[1]Americno 30th May '!$B$3</f>
        <v>25820</v>
      </c>
      <c r="H2" s="87">
        <v>4000</v>
      </c>
      <c r="I2" s="87">
        <f>'[1]Americno 30th May '!$B$4</f>
        <v>2582</v>
      </c>
      <c r="J2" s="87">
        <f t="shared" ref="J2" si="0">G2+H2-I2</f>
        <v>27238</v>
      </c>
      <c r="K2" s="87">
        <f t="shared" ref="K2" si="1">J2*18%</f>
        <v>4902.84</v>
      </c>
      <c r="L2" s="87">
        <f>SUM(J2:K2)</f>
        <v>32140.84</v>
      </c>
      <c r="M2" s="172">
        <v>0</v>
      </c>
      <c r="N2" s="173">
        <f>L2-M2</f>
        <v>32140.84</v>
      </c>
      <c r="O2" s="63" t="s">
        <v>113</v>
      </c>
      <c r="P2" s="121">
        <v>190600</v>
      </c>
      <c r="Q2" s="116">
        <f>J2/P2</f>
        <v>0.14290661070304303</v>
      </c>
    </row>
    <row r="3" spans="1:17" x14ac:dyDescent="0.3">
      <c r="A3" s="52">
        <v>2</v>
      </c>
      <c r="B3" s="60" t="s">
        <v>161</v>
      </c>
      <c r="C3" s="60" t="s">
        <v>123</v>
      </c>
      <c r="D3" s="115"/>
      <c r="E3" s="60">
        <v>54</v>
      </c>
      <c r="F3" s="60" t="s">
        <v>32</v>
      </c>
      <c r="G3" s="87">
        <v>32000</v>
      </c>
      <c r="H3" s="87">
        <v>0</v>
      </c>
      <c r="I3" s="87">
        <f>G3*20%</f>
        <v>6400</v>
      </c>
      <c r="J3" s="87">
        <f>G3+H3-I3</f>
        <v>25600</v>
      </c>
      <c r="K3" s="87">
        <f>J3*18%</f>
        <v>4608</v>
      </c>
      <c r="L3" s="87">
        <f>SUM(J3:K3)</f>
        <v>30208</v>
      </c>
      <c r="M3" s="172">
        <v>0</v>
      </c>
      <c r="N3" s="173">
        <f>L3-M3</f>
        <v>30208</v>
      </c>
      <c r="O3" s="63" t="s">
        <v>113</v>
      </c>
      <c r="P3" s="121">
        <v>272100</v>
      </c>
      <c r="Q3" s="116">
        <f>J3/P3</f>
        <v>9.4083057699375236E-2</v>
      </c>
    </row>
    <row r="4" spans="1:17" x14ac:dyDescent="0.3">
      <c r="A4" s="52">
        <v>3</v>
      </c>
      <c r="B4" s="154" t="s">
        <v>165</v>
      </c>
      <c r="C4" s="7" t="s">
        <v>166</v>
      </c>
      <c r="D4" s="115"/>
      <c r="E4" s="60">
        <v>55</v>
      </c>
      <c r="F4" s="60" t="s">
        <v>32</v>
      </c>
      <c r="G4" s="87">
        <v>8800</v>
      </c>
      <c r="H4" s="61">
        <v>200</v>
      </c>
      <c r="I4" s="61">
        <v>0</v>
      </c>
      <c r="J4" s="87">
        <f>G4+H4-I4</f>
        <v>9000</v>
      </c>
      <c r="K4" s="61">
        <f>J4*18%</f>
        <v>1620</v>
      </c>
      <c r="L4" s="61">
        <f>J4+K4</f>
        <v>10620</v>
      </c>
      <c r="M4" s="90"/>
      <c r="N4" s="54">
        <f>L4</f>
        <v>10620</v>
      </c>
      <c r="O4" s="63" t="s">
        <v>113</v>
      </c>
      <c r="P4" s="64">
        <v>46100</v>
      </c>
      <c r="Q4" s="66">
        <f>J4/P4</f>
        <v>0.19522776572668113</v>
      </c>
    </row>
    <row r="5" spans="1:17" x14ac:dyDescent="0.3">
      <c r="A5" s="52">
        <v>4</v>
      </c>
      <c r="B5" s="60"/>
      <c r="C5" s="60"/>
      <c r="D5" s="115"/>
      <c r="E5" s="60"/>
      <c r="F5" s="60"/>
      <c r="G5" s="87"/>
      <c r="H5" s="87"/>
      <c r="I5" s="87"/>
      <c r="J5" s="87"/>
      <c r="K5" s="87"/>
      <c r="L5" s="87"/>
      <c r="M5" s="172"/>
      <c r="N5" s="173"/>
      <c r="O5" s="63"/>
      <c r="P5" s="121"/>
      <c r="Q5" s="116"/>
    </row>
    <row r="6" spans="1:17" x14ac:dyDescent="0.3">
      <c r="A6" s="52">
        <v>5</v>
      </c>
      <c r="B6" s="60" t="s">
        <v>167</v>
      </c>
      <c r="C6" s="60"/>
      <c r="D6" s="115"/>
      <c r="E6" s="60">
        <v>57</v>
      </c>
      <c r="F6" s="60" t="s">
        <v>160</v>
      </c>
      <c r="G6" s="87">
        <v>10800</v>
      </c>
      <c r="H6" s="87"/>
      <c r="I6" s="87">
        <v>540</v>
      </c>
      <c r="J6" s="87">
        <f t="shared" ref="J6:J24" si="2">G6+H6-I6</f>
        <v>10260</v>
      </c>
      <c r="K6" s="87">
        <f t="shared" ref="K6:K24" si="3">J6*18%</f>
        <v>1846.8</v>
      </c>
      <c r="L6" s="87">
        <f>J6+K6</f>
        <v>12106.8</v>
      </c>
      <c r="M6" s="172">
        <f>L6</f>
        <v>12106.8</v>
      </c>
      <c r="N6" s="173">
        <v>0</v>
      </c>
      <c r="O6" s="63" t="s">
        <v>113</v>
      </c>
      <c r="P6" s="121">
        <v>52800</v>
      </c>
      <c r="Q6" s="116">
        <f t="shared" ref="Q6:Q13" si="4">J6/P6</f>
        <v>0.19431818181818181</v>
      </c>
    </row>
    <row r="7" spans="1:17" x14ac:dyDescent="0.3">
      <c r="A7" s="52">
        <v>7</v>
      </c>
      <c r="B7" s="60"/>
      <c r="C7" s="60"/>
      <c r="D7" s="115"/>
      <c r="E7" s="60"/>
      <c r="F7" s="60"/>
      <c r="G7" s="87">
        <v>0</v>
      </c>
      <c r="H7" s="87">
        <v>0</v>
      </c>
      <c r="I7" s="87">
        <v>0</v>
      </c>
      <c r="J7" s="87">
        <f t="shared" si="2"/>
        <v>0</v>
      </c>
      <c r="K7" s="87">
        <f t="shared" si="3"/>
        <v>0</v>
      </c>
      <c r="L7" s="87">
        <f t="shared" ref="L7:L24" si="5">SUM(J7:K7)</f>
        <v>0</v>
      </c>
      <c r="M7" s="172">
        <v>0</v>
      </c>
      <c r="N7" s="173">
        <f t="shared" ref="N7:N24" si="6">L7-M7</f>
        <v>0</v>
      </c>
      <c r="O7" s="63" t="s">
        <v>113</v>
      </c>
      <c r="P7" s="121">
        <v>0</v>
      </c>
      <c r="Q7" s="116" t="e">
        <f t="shared" si="4"/>
        <v>#DIV/0!</v>
      </c>
    </row>
    <row r="8" spans="1:17" x14ac:dyDescent="0.3">
      <c r="A8" s="52">
        <v>8</v>
      </c>
      <c r="B8" s="60"/>
      <c r="C8" s="60"/>
      <c r="D8" s="115"/>
      <c r="E8" s="60"/>
      <c r="F8" s="60"/>
      <c r="G8" s="87">
        <v>0</v>
      </c>
      <c r="H8" s="87">
        <v>0</v>
      </c>
      <c r="I8" s="87">
        <v>0</v>
      </c>
      <c r="J8" s="87">
        <f t="shared" si="2"/>
        <v>0</v>
      </c>
      <c r="K8" s="87">
        <f t="shared" si="3"/>
        <v>0</v>
      </c>
      <c r="L8" s="87">
        <f t="shared" si="5"/>
        <v>0</v>
      </c>
      <c r="M8" s="172">
        <v>0</v>
      </c>
      <c r="N8" s="173">
        <f t="shared" si="6"/>
        <v>0</v>
      </c>
      <c r="O8" s="63" t="s">
        <v>113</v>
      </c>
      <c r="P8" s="121">
        <v>0</v>
      </c>
      <c r="Q8" s="116" t="e">
        <f t="shared" si="4"/>
        <v>#DIV/0!</v>
      </c>
    </row>
    <row r="9" spans="1:17" x14ac:dyDescent="0.3">
      <c r="A9" s="52">
        <v>9</v>
      </c>
      <c r="B9" s="60"/>
      <c r="C9" s="60"/>
      <c r="D9" s="115"/>
      <c r="E9" s="60"/>
      <c r="F9" s="60"/>
      <c r="G9" s="87">
        <v>0</v>
      </c>
      <c r="H9" s="87">
        <v>0</v>
      </c>
      <c r="I9" s="87">
        <v>0</v>
      </c>
      <c r="J9" s="87">
        <f t="shared" si="2"/>
        <v>0</v>
      </c>
      <c r="K9" s="87">
        <f t="shared" si="3"/>
        <v>0</v>
      </c>
      <c r="L9" s="87">
        <f t="shared" si="5"/>
        <v>0</v>
      </c>
      <c r="M9" s="172">
        <v>0</v>
      </c>
      <c r="N9" s="173">
        <f t="shared" si="6"/>
        <v>0</v>
      </c>
      <c r="O9" s="63" t="s">
        <v>113</v>
      </c>
      <c r="P9" s="121">
        <v>0</v>
      </c>
      <c r="Q9" s="116" t="e">
        <f t="shared" si="4"/>
        <v>#DIV/0!</v>
      </c>
    </row>
    <row r="10" spans="1:17" x14ac:dyDescent="0.3">
      <c r="A10" s="52">
        <v>10</v>
      </c>
      <c r="B10" s="60"/>
      <c r="C10" s="60"/>
      <c r="D10" s="115"/>
      <c r="E10" s="60"/>
      <c r="F10" s="60"/>
      <c r="G10" s="87">
        <v>0</v>
      </c>
      <c r="H10" s="87">
        <v>0</v>
      </c>
      <c r="I10" s="87">
        <v>0</v>
      </c>
      <c r="J10" s="87">
        <f t="shared" si="2"/>
        <v>0</v>
      </c>
      <c r="K10" s="87">
        <f t="shared" si="3"/>
        <v>0</v>
      </c>
      <c r="L10" s="87">
        <f t="shared" si="5"/>
        <v>0</v>
      </c>
      <c r="M10" s="172">
        <v>0</v>
      </c>
      <c r="N10" s="173">
        <f t="shared" si="6"/>
        <v>0</v>
      </c>
      <c r="O10" s="63" t="s">
        <v>113</v>
      </c>
      <c r="P10" s="121">
        <v>0</v>
      </c>
      <c r="Q10" s="116" t="e">
        <f t="shared" si="4"/>
        <v>#DIV/0!</v>
      </c>
    </row>
    <row r="11" spans="1:17" x14ac:dyDescent="0.3">
      <c r="A11" s="52">
        <v>11</v>
      </c>
      <c r="B11" s="60"/>
      <c r="C11" s="60"/>
      <c r="D11" s="115"/>
      <c r="E11" s="60"/>
      <c r="F11" s="60"/>
      <c r="G11" s="87">
        <v>0</v>
      </c>
      <c r="H11" s="87">
        <v>0</v>
      </c>
      <c r="I11" s="87">
        <v>0</v>
      </c>
      <c r="J11" s="87">
        <f t="shared" si="2"/>
        <v>0</v>
      </c>
      <c r="K11" s="87">
        <f t="shared" si="3"/>
        <v>0</v>
      </c>
      <c r="L11" s="87">
        <f t="shared" si="5"/>
        <v>0</v>
      </c>
      <c r="M11" s="172">
        <v>0</v>
      </c>
      <c r="N11" s="173">
        <f t="shared" si="6"/>
        <v>0</v>
      </c>
      <c r="O11" s="63" t="s">
        <v>113</v>
      </c>
      <c r="P11" s="121">
        <v>0</v>
      </c>
      <c r="Q11" s="116" t="e">
        <f t="shared" si="4"/>
        <v>#DIV/0!</v>
      </c>
    </row>
    <row r="12" spans="1:17" x14ac:dyDescent="0.3">
      <c r="A12" s="52">
        <v>12</v>
      </c>
      <c r="B12" s="60"/>
      <c r="C12" s="60"/>
      <c r="D12" s="115"/>
      <c r="E12" s="60"/>
      <c r="F12" s="60"/>
      <c r="G12" s="87">
        <v>0</v>
      </c>
      <c r="H12" s="87">
        <v>0</v>
      </c>
      <c r="I12" s="87">
        <v>0</v>
      </c>
      <c r="J12" s="87">
        <f t="shared" si="2"/>
        <v>0</v>
      </c>
      <c r="K12" s="87">
        <f t="shared" si="3"/>
        <v>0</v>
      </c>
      <c r="L12" s="87">
        <f t="shared" si="5"/>
        <v>0</v>
      </c>
      <c r="M12" s="172">
        <v>0</v>
      </c>
      <c r="N12" s="173">
        <f t="shared" si="6"/>
        <v>0</v>
      </c>
      <c r="O12" s="63" t="s">
        <v>113</v>
      </c>
      <c r="P12" s="121">
        <v>0</v>
      </c>
      <c r="Q12" s="116" t="e">
        <f t="shared" si="4"/>
        <v>#DIV/0!</v>
      </c>
    </row>
    <row r="13" spans="1:17" x14ac:dyDescent="0.3">
      <c r="A13" s="52"/>
      <c r="B13" s="60"/>
      <c r="C13" s="60"/>
      <c r="D13" s="115"/>
      <c r="E13" s="60"/>
      <c r="F13" s="60"/>
      <c r="G13" s="87">
        <v>0</v>
      </c>
      <c r="H13" s="87">
        <v>0</v>
      </c>
      <c r="I13" s="87">
        <v>0</v>
      </c>
      <c r="J13" s="87">
        <f t="shared" si="2"/>
        <v>0</v>
      </c>
      <c r="K13" s="87">
        <f t="shared" si="3"/>
        <v>0</v>
      </c>
      <c r="L13" s="87">
        <f t="shared" si="5"/>
        <v>0</v>
      </c>
      <c r="M13" s="172">
        <v>0</v>
      </c>
      <c r="N13" s="173">
        <f t="shared" si="6"/>
        <v>0</v>
      </c>
      <c r="O13" s="63"/>
      <c r="P13" s="121">
        <v>0</v>
      </c>
      <c r="Q13" s="116" t="e">
        <f t="shared" si="4"/>
        <v>#DIV/0!</v>
      </c>
    </row>
    <row r="14" spans="1:17" x14ac:dyDescent="0.3">
      <c r="A14" s="52"/>
      <c r="B14" s="60"/>
      <c r="C14" s="39"/>
      <c r="D14" s="60"/>
      <c r="E14" s="60"/>
      <c r="F14" s="60"/>
      <c r="G14" s="87">
        <v>0</v>
      </c>
      <c r="H14" s="87">
        <v>0</v>
      </c>
      <c r="I14" s="87">
        <v>0</v>
      </c>
      <c r="J14" s="87">
        <f t="shared" si="2"/>
        <v>0</v>
      </c>
      <c r="K14" s="87">
        <f t="shared" si="3"/>
        <v>0</v>
      </c>
      <c r="L14" s="87">
        <f t="shared" si="5"/>
        <v>0</v>
      </c>
      <c r="M14" s="172">
        <v>0</v>
      </c>
      <c r="N14" s="173">
        <f t="shared" si="6"/>
        <v>0</v>
      </c>
      <c r="O14" s="63"/>
      <c r="P14" s="121">
        <v>0</v>
      </c>
      <c r="Q14" s="66"/>
    </row>
    <row r="15" spans="1:17" x14ac:dyDescent="0.3">
      <c r="A15" s="52"/>
      <c r="B15" s="52"/>
      <c r="C15" s="7"/>
      <c r="D15" s="52"/>
      <c r="E15" s="52"/>
      <c r="F15" s="52"/>
      <c r="G15" s="87">
        <v>0</v>
      </c>
      <c r="H15" s="87">
        <v>0</v>
      </c>
      <c r="I15" s="87">
        <v>0</v>
      </c>
      <c r="J15" s="87">
        <f t="shared" si="2"/>
        <v>0</v>
      </c>
      <c r="K15" s="87">
        <f t="shared" si="3"/>
        <v>0</v>
      </c>
      <c r="L15" s="87">
        <f t="shared" si="5"/>
        <v>0</v>
      </c>
      <c r="M15" s="172">
        <v>0</v>
      </c>
      <c r="N15" s="173">
        <f t="shared" si="6"/>
        <v>0</v>
      </c>
      <c r="O15" s="55"/>
      <c r="P15" s="121">
        <v>0</v>
      </c>
      <c r="Q15" s="70"/>
    </row>
    <row r="16" spans="1:17" x14ac:dyDescent="0.3">
      <c r="A16" s="52"/>
      <c r="B16" s="52"/>
      <c r="C16" s="7"/>
      <c r="D16" s="52"/>
      <c r="E16" s="52"/>
      <c r="F16" s="52"/>
      <c r="G16" s="87">
        <v>0</v>
      </c>
      <c r="H16" s="87">
        <v>0</v>
      </c>
      <c r="I16" s="87">
        <v>0</v>
      </c>
      <c r="J16" s="87">
        <f t="shared" si="2"/>
        <v>0</v>
      </c>
      <c r="K16" s="87">
        <f t="shared" si="3"/>
        <v>0</v>
      </c>
      <c r="L16" s="87">
        <f t="shared" si="5"/>
        <v>0</v>
      </c>
      <c r="M16" s="172">
        <v>0</v>
      </c>
      <c r="N16" s="173">
        <f t="shared" si="6"/>
        <v>0</v>
      </c>
      <c r="O16" s="55"/>
      <c r="P16" s="121">
        <v>0</v>
      </c>
      <c r="Q16" s="70"/>
    </row>
    <row r="17" spans="1:17" x14ac:dyDescent="0.3">
      <c r="A17" s="52"/>
      <c r="B17" s="52"/>
      <c r="C17" s="7"/>
      <c r="D17" s="52"/>
      <c r="E17" s="52"/>
      <c r="F17" s="52"/>
      <c r="G17" s="87">
        <v>0</v>
      </c>
      <c r="H17" s="87">
        <v>0</v>
      </c>
      <c r="I17" s="87">
        <v>0</v>
      </c>
      <c r="J17" s="87">
        <f t="shared" si="2"/>
        <v>0</v>
      </c>
      <c r="K17" s="87">
        <f t="shared" si="3"/>
        <v>0</v>
      </c>
      <c r="L17" s="87">
        <f t="shared" si="5"/>
        <v>0</v>
      </c>
      <c r="M17" s="172">
        <v>0</v>
      </c>
      <c r="N17" s="173">
        <f t="shared" si="6"/>
        <v>0</v>
      </c>
      <c r="O17" s="55"/>
      <c r="P17" s="121">
        <v>0</v>
      </c>
      <c r="Q17" s="57"/>
    </row>
    <row r="18" spans="1:17" x14ac:dyDescent="0.3">
      <c r="A18" s="52"/>
      <c r="B18" s="52"/>
      <c r="C18" s="7"/>
      <c r="D18" s="52"/>
      <c r="E18" s="52"/>
      <c r="F18" s="52"/>
      <c r="G18" s="87">
        <v>0</v>
      </c>
      <c r="H18" s="87">
        <v>0</v>
      </c>
      <c r="I18" s="87">
        <v>0</v>
      </c>
      <c r="J18" s="87">
        <f t="shared" si="2"/>
        <v>0</v>
      </c>
      <c r="K18" s="87">
        <f t="shared" si="3"/>
        <v>0</v>
      </c>
      <c r="L18" s="87">
        <f t="shared" si="5"/>
        <v>0</v>
      </c>
      <c r="M18" s="172">
        <v>0</v>
      </c>
      <c r="N18" s="173">
        <f t="shared" si="6"/>
        <v>0</v>
      </c>
      <c r="O18" s="55"/>
      <c r="P18" s="121">
        <v>0</v>
      </c>
      <c r="Q18" s="57"/>
    </row>
    <row r="19" spans="1:17" x14ac:dyDescent="0.3">
      <c r="A19" s="52"/>
      <c r="B19" s="52"/>
      <c r="C19" s="7"/>
      <c r="D19" s="52"/>
      <c r="E19" s="52"/>
      <c r="F19" s="52"/>
      <c r="G19" s="87">
        <v>0</v>
      </c>
      <c r="H19" s="87">
        <v>0</v>
      </c>
      <c r="I19" s="87">
        <v>0</v>
      </c>
      <c r="J19" s="87">
        <f t="shared" si="2"/>
        <v>0</v>
      </c>
      <c r="K19" s="87">
        <f t="shared" si="3"/>
        <v>0</v>
      </c>
      <c r="L19" s="87">
        <f t="shared" si="5"/>
        <v>0</v>
      </c>
      <c r="M19" s="172">
        <v>0</v>
      </c>
      <c r="N19" s="173">
        <f t="shared" si="6"/>
        <v>0</v>
      </c>
      <c r="O19" s="55"/>
      <c r="P19" s="121">
        <v>0</v>
      </c>
      <c r="Q19" s="57"/>
    </row>
    <row r="20" spans="1:17" x14ac:dyDescent="0.3">
      <c r="A20" s="52"/>
      <c r="B20" s="52"/>
      <c r="C20" s="7"/>
      <c r="D20" s="52"/>
      <c r="E20" s="52"/>
      <c r="F20" s="52"/>
      <c r="G20" s="87">
        <v>0</v>
      </c>
      <c r="H20" s="87">
        <v>0</v>
      </c>
      <c r="I20" s="87">
        <v>0</v>
      </c>
      <c r="J20" s="87">
        <f t="shared" si="2"/>
        <v>0</v>
      </c>
      <c r="K20" s="87">
        <f t="shared" si="3"/>
        <v>0</v>
      </c>
      <c r="L20" s="87">
        <f t="shared" si="5"/>
        <v>0</v>
      </c>
      <c r="M20" s="172">
        <v>0</v>
      </c>
      <c r="N20" s="173">
        <f t="shared" si="6"/>
        <v>0</v>
      </c>
      <c r="O20" s="55"/>
      <c r="P20" s="121">
        <v>0</v>
      </c>
      <c r="Q20" s="57"/>
    </row>
    <row r="21" spans="1:17" x14ac:dyDescent="0.3">
      <c r="A21" s="52"/>
      <c r="B21" s="52"/>
      <c r="C21" s="7"/>
      <c r="D21" s="52"/>
      <c r="E21" s="52"/>
      <c r="F21" s="52"/>
      <c r="G21" s="87">
        <v>0</v>
      </c>
      <c r="H21" s="87">
        <v>0</v>
      </c>
      <c r="I21" s="87">
        <v>0</v>
      </c>
      <c r="J21" s="87">
        <f t="shared" si="2"/>
        <v>0</v>
      </c>
      <c r="K21" s="87">
        <f t="shared" si="3"/>
        <v>0</v>
      </c>
      <c r="L21" s="87">
        <f t="shared" si="5"/>
        <v>0</v>
      </c>
      <c r="M21" s="172">
        <v>0</v>
      </c>
      <c r="N21" s="173">
        <f t="shared" si="6"/>
        <v>0</v>
      </c>
      <c r="O21" s="55"/>
      <c r="P21" s="121">
        <v>0</v>
      </c>
      <c r="Q21" s="57"/>
    </row>
    <row r="22" spans="1:17" x14ac:dyDescent="0.3">
      <c r="A22" s="52"/>
      <c r="B22" s="52"/>
      <c r="C22" s="7"/>
      <c r="D22" s="52"/>
      <c r="E22" s="52"/>
      <c r="F22" s="52"/>
      <c r="G22" s="87">
        <v>0</v>
      </c>
      <c r="H22" s="87">
        <v>0</v>
      </c>
      <c r="I22" s="87">
        <v>0</v>
      </c>
      <c r="J22" s="87">
        <f t="shared" si="2"/>
        <v>0</v>
      </c>
      <c r="K22" s="87">
        <f t="shared" si="3"/>
        <v>0</v>
      </c>
      <c r="L22" s="87">
        <f t="shared" si="5"/>
        <v>0</v>
      </c>
      <c r="M22" s="172">
        <v>0</v>
      </c>
      <c r="N22" s="173">
        <f t="shared" si="6"/>
        <v>0</v>
      </c>
      <c r="O22" s="55"/>
      <c r="P22" s="121">
        <v>0</v>
      </c>
      <c r="Q22" s="57"/>
    </row>
    <row r="23" spans="1:17" x14ac:dyDescent="0.3">
      <c r="A23" s="52"/>
      <c r="B23" s="52"/>
      <c r="C23" s="7"/>
      <c r="D23" s="52"/>
      <c r="E23" s="52"/>
      <c r="F23" s="52"/>
      <c r="G23" s="87">
        <v>0</v>
      </c>
      <c r="H23" s="87">
        <v>0</v>
      </c>
      <c r="I23" s="87">
        <v>0</v>
      </c>
      <c r="J23" s="87">
        <f t="shared" si="2"/>
        <v>0</v>
      </c>
      <c r="K23" s="87">
        <f t="shared" si="3"/>
        <v>0</v>
      </c>
      <c r="L23" s="87">
        <f t="shared" si="5"/>
        <v>0</v>
      </c>
      <c r="M23" s="172">
        <v>0</v>
      </c>
      <c r="N23" s="173">
        <f t="shared" si="6"/>
        <v>0</v>
      </c>
      <c r="O23" s="55"/>
      <c r="P23" s="121">
        <v>0</v>
      </c>
      <c r="Q23" s="57"/>
    </row>
    <row r="24" spans="1:17" x14ac:dyDescent="0.3">
      <c r="A24" s="51"/>
      <c r="B24" s="155"/>
      <c r="C24" s="7"/>
      <c r="D24" s="52"/>
      <c r="E24" s="52"/>
      <c r="F24" s="52"/>
      <c r="G24" s="87">
        <v>0</v>
      </c>
      <c r="H24" s="87">
        <v>0</v>
      </c>
      <c r="I24" s="87">
        <v>0</v>
      </c>
      <c r="J24" s="87">
        <f t="shared" si="2"/>
        <v>0</v>
      </c>
      <c r="K24" s="87">
        <f t="shared" si="3"/>
        <v>0</v>
      </c>
      <c r="L24" s="87">
        <f t="shared" si="5"/>
        <v>0</v>
      </c>
      <c r="M24" s="90">
        <v>0</v>
      </c>
      <c r="N24" s="54">
        <f t="shared" si="6"/>
        <v>0</v>
      </c>
      <c r="O24" s="55"/>
      <c r="P24" s="121">
        <v>0</v>
      </c>
      <c r="Q24" s="57"/>
    </row>
    <row r="25" spans="1:17" ht="15" thickBot="1" x14ac:dyDescent="0.35">
      <c r="A25" s="51"/>
      <c r="B25" s="52"/>
      <c r="C25" s="7"/>
      <c r="D25" s="52"/>
      <c r="E25" s="52"/>
      <c r="F25" s="52"/>
      <c r="G25" s="53"/>
      <c r="H25" s="53"/>
      <c r="I25" s="53"/>
      <c r="J25" s="53"/>
      <c r="K25" s="53"/>
      <c r="L25" s="53"/>
      <c r="M25" s="89"/>
      <c r="N25" s="54"/>
      <c r="O25" s="55"/>
      <c r="P25" s="56"/>
      <c r="Q25" s="57"/>
    </row>
    <row r="26" spans="1:17" x14ac:dyDescent="0.3">
      <c r="A26" s="46"/>
      <c r="B26" s="117"/>
      <c r="C26" s="117"/>
      <c r="D26" s="117"/>
      <c r="E26" s="117"/>
      <c r="F26" s="117"/>
      <c r="G26" s="132">
        <f>SUM(G2:G25)</f>
        <v>77420</v>
      </c>
      <c r="H26" s="132">
        <v>1</v>
      </c>
      <c r="I26" s="132">
        <f t="shared" ref="I26:N26" si="7">SUM(I2:I25)</f>
        <v>9522</v>
      </c>
      <c r="J26" s="132">
        <f t="shared" si="7"/>
        <v>72098</v>
      </c>
      <c r="K26" s="132">
        <f t="shared" si="7"/>
        <v>12977.64</v>
      </c>
      <c r="L26" s="132">
        <f t="shared" si="7"/>
        <v>85075.64</v>
      </c>
      <c r="M26" s="133">
        <f t="shared" si="7"/>
        <v>12106.8</v>
      </c>
      <c r="N26" s="133">
        <f t="shared" si="7"/>
        <v>72968.84</v>
      </c>
      <c r="O26" s="134"/>
      <c r="P26" s="135">
        <f>SUM(P2:P25)</f>
        <v>561600</v>
      </c>
      <c r="Q26" s="134">
        <f>J26/P26</f>
        <v>0.12837962962962962</v>
      </c>
    </row>
    <row r="27" spans="1:17" x14ac:dyDescent="0.3">
      <c r="I27" s="130">
        <f>I26/G26</f>
        <v>0.12299147507104108</v>
      </c>
    </row>
    <row r="28" spans="1:17" x14ac:dyDescent="0.3">
      <c r="L28" s="45"/>
    </row>
    <row r="31" spans="1:17" x14ac:dyDescent="0.3">
      <c r="L31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Pending payments </vt:lpstr>
      <vt:lpstr>JAN 25</vt:lpstr>
      <vt:lpstr>FEB 25</vt:lpstr>
      <vt:lpstr>March 25</vt:lpstr>
      <vt:lpstr>April 25 </vt:lpstr>
      <vt:lpstr>May 25</vt:lpstr>
      <vt:lpstr>June 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Info</dc:creator>
  <cp:keywords/>
  <dc:description/>
  <cp:lastModifiedBy>Switch Rental</cp:lastModifiedBy>
  <cp:revision/>
  <dcterms:created xsi:type="dcterms:W3CDTF">2025-01-15T10:44:33Z</dcterms:created>
  <dcterms:modified xsi:type="dcterms:W3CDTF">2025-06-02T09:50:01Z</dcterms:modified>
  <cp:category/>
  <cp:contentStatus/>
</cp:coreProperties>
</file>